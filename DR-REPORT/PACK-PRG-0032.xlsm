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MemberType Impacted Tables" sheetId="31" r:id="rId8"/>
    <sheet name="TOS-Error" sheetId="8" r:id="rId9"/>
    <sheet name="Build V2" sheetId="10" r:id="rId10"/>
    <sheet name="Build V3" sheetId="11" r:id="rId11"/>
    <sheet name="myStatus" sheetId="13" r:id="rId12"/>
  </sheets>
  <externalReferences>
    <externalReference r:id="rId13"/>
  </externalReferences>
  <definedNames>
    <definedName name="_xlnm._FilterDatabase" localSheetId="9" hidden="1">'Build V2'!$A$2:$F$2</definedName>
    <definedName name="_xlnm._FilterDatabase" localSheetId="10" hidden="1">'Build V3'!$A$2:$C$20</definedName>
    <definedName name="_xlnm._FilterDatabase" localSheetId="4" hidden="1">'DB member list'!$A$1:$F$1</definedName>
    <definedName name="_xlnm._FilterDatabase" localSheetId="6" hidden="1">'List Of Synergy Objects'!$A$1:$E$1</definedName>
    <definedName name="_xlnm._FilterDatabase" localSheetId="7" hidden="1">'MemberType Impacted Tables'!$A$1:$B$1</definedName>
    <definedName name="_xlnm._FilterDatabase" localSheetId="3" hidden="1">'Patch list'!$A$1:$F$1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5" hidden="1">'TFT op.'!$A$1:$R$1</definedName>
    <definedName name="Z_11DA137D_FA21_4924_8652_5200ADF70677_.wvu.FilterData" localSheetId="9" hidden="1">'Build V2'!$A$2:$F$2</definedName>
    <definedName name="Z_11DA137D_FA21_4924_8652_5200ADF70677_.wvu.FilterData" localSheetId="10" hidden="1">'Build V3'!$A$2:$C$20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<sst xmlns="http://schemas.openxmlformats.org/spreadsheetml/2006/main" count="1511" uniqueCount="538">
  <si>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</si>
  <si>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</si>
  <si>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</si>
  <si>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</si>
  <si>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</si>
  <si>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</si>
  <si>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</si>
  <si>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</si>
  <si>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</si>
  <si>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</si>
  <si>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</si>
  <si>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</si>
  <si>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</si>
  <si>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</si>
  <si>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</si>
  <si>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</si>
  <si>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</si>
  <si>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</si>
  <si>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</si>
  <si>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</si>
  <si>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</si>
  <si>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</si>
  <si>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</si>
  <si>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</si>
  <si>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</si>
  <si>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</si>
  <si>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</si>
  <si>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</si>
  <si>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</si>
  <si>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</si>
  <si>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</si>
  <si>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</si>
  <si>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</si>
  <si>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</si>
  <si>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</si>
  <si>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</si>
  <si>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</si>
  <si>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</si>
  <si>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</si>
  <si>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</si>
  <si>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</si>
  <si>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</si>
  <si>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</si>
  <si>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</si>
  <si>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</si>
  <si>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</si>
  <si>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</si>
  <si>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</si>
  <si>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</si>
  <si>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</si>
  <si>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</si>
  <si>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</si>
  <si>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</si>
  <si>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</si>
  <si>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</si>
  <si>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</si>
  <si>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</si>
  <si>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</si>
  <si>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</si>
  <si>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</si>
  <si>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</si>
  <si>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</si>
  <si>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</si>
  <si>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</si>
  <si>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</si>
  <si>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</si>
  <si>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</si>
  <si>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</si>
  <si>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</si>
  <si>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</si>
  <si>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</si>
  <si>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</si>
  <si>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</si>
  <si>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</si>
  <si>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</si>
  <si>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</si>
  <si>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</si>
  <si>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</si>
  <si>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</si>
  <si>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</si>
  <si>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</si>
  <si>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</si>
  <si>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</si>
  <si>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</si>
  <si>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</si>
  <si>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</si>
  <si>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</si>
  <si>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</si>
  <si>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</si>
  <si>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</si>
  <si>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</si>
  <si>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</si>
  <si>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</si>
  <si>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</si>
  <si>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</si>
  <si>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</si>
  <si>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</si>
  <si>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</si>
  <si>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</si>
  <si>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</si>
  <si>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</si>
  <si>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</si>
  <si>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</si>
  <si>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</si>
  <si>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</si>
  <si>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</si>
  <si>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</si>
  <si>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</si>
  <si>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</si>
  <si>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</si>
  <si>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</si>
  <si>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</si>
  <si>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</si>
  <si>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</si>
  <si>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</si>
  <si>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</si>
  <si>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</si>
  <si>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</si>
  <si>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</si>
  <si>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</si>
  <si>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</si>
  <si>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</si>
  <si>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</si>
  <si>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</si>
  <si>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</si>
  <si>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</si>
  <si>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</si>
  <si>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</si>
  <si>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</si>
  <si>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</si>
  <si>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</si>
  <si>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</si>
  <si>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</si>
  <si>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</si>
  <si>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</si>
  <si>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</si>
  <si>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</si>
  <si>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</si>
  <si>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</si>
  <si>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</si>
  <si>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</si>
  <si>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</si>
  <si>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</si>
  <si>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</si>
  <si>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</si>
  <si>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</si>
  <si>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</si>
  <si>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</si>
  <si>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</si>
  <si>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</si>
  <si>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</si>
  <si>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</si>
  <si>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</si>
  <si>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</si>
  <si>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</si>
  <si>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</si>
  <si>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</si>
  <si>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</si>
  <si>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</si>
  <si>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</si>
  <si>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</si>
  <si>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</si>
  <si>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</si>
  <si>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</si>
  <si>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</si>
  <si>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</si>
  <si>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</si>
  <si>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</si>
  <si>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</si>
  <si>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</si>
  <si>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</si>
  <si>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</si>
  <si>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</si>
  <si>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</si>
  <si>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</si>
  <si>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</si>
  <si>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</si>
  <si>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</si>
  <si>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</si>
  <si>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</si>
  <si>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</si>
  <si>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</si>
  <si>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</si>
  <si>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</si>
  <si>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</si>
  <si>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</si>
  <si>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</si>
  <si>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</si>
  <si>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</si>
  <si>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</si>
  <si>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</si>
  <si>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</si>
  <si>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</si>
  <si>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</si>
  <si>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</si>
  <si>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</si>
  <si>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</si>
  <si>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</si>
  <si>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</si>
  <si>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</si>
  <si>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</si>
  <si>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</si>
  <si>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</si>
  <si>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</si>
  <si>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</si>
  <si>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</si>
  <si>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</si>
  <si>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</si>
  <si>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</si>
  <si>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</si>
  <si>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</si>
  <si>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</si>
  <si>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</si>
  <si>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</si>
  <si>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</si>
  <si>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</si>
  <si>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</si>
  <si>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</si>
  <si>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</si>
  <si>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</si>
  <si>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</si>
  <si>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</si>
  <si>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</si>
  <si>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</si>
  <si>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</si>
  <si>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</si>
  <si>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</si>
  <si>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</si>
  <si>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</si>
  <si>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</si>
  <si>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</si>
  <si>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</si>
  <si>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</si>
  <si>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</si>
  <si>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</si>
  <si>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</si>
  <si>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</si>
  <si>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</si>
  <si>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</si>
  <si>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</si>
  <si>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</si>
  <si>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</si>
  <si>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</si>
  <si>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</si>
  <si>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</si>
  <si>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</si>
  <si>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</si>
  <si>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</si>
  <si>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</si>
  <si>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</si>
  <si>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</si>
  <si>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</si>
  <si>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</si>
  <si>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</si>
  <si>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</si>
  <si>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</si>
  <si>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</si>
  <si>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</si>
  <si>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</si>
  <si>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</si>
  <si>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</si>
  <si>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</si>
  <si>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</si>
  <si>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</si>
  <si>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</si>
  <si>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</si>
  <si>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</si>
  <si>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</si>
  <si>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</si>
  <si>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</si>
  <si>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</si>
  <si>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</si>
  <si>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</si>
  <si>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</si>
  <si>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</si>
  <si>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</si>
  <si>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TABLES</t>
  </si>
  <si>
    <t>PACK-PRG-0032</t>
  </si>
  <si>
    <t>[dr] Release 20141029 [VUC reporting]</t>
  </si>
  <si>
    <t>PSAPRG</t>
  </si>
  <si>
    <t>PSABLD</t>
  </si>
  <si>
    <t>Z00863</t>
  </si>
  <si>
    <t>STAPAT-to-be-added</t>
  </si>
  <si>
    <t>2XXCL</t>
  </si>
  <si>
    <t>New functionality</t>
  </si>
  <si>
    <t>PSA-GAP</t>
  </si>
  <si>
    <t xml:space="preserve">[patch] VUC Reporting </t>
  </si>
  <si>
    <t>Z00865</t>
  </si>
  <si>
    <t>CC</t>
  </si>
  <si>
    <t xml:space="preserve">[patch] VUC Reporting    </t>
  </si>
  <si>
    <t>Z00866</t>
  </si>
  <si>
    <t>CL</t>
  </si>
  <si>
    <t>Z00892</t>
  </si>
  <si>
    <t>2XXFW</t>
  </si>
  <si>
    <t>Z00895</t>
  </si>
  <si>
    <t>MM-1</t>
  </si>
  <si>
    <t xml:space="preserve">[patch] VUC Reporting  </t>
  </si>
  <si>
    <t>ZXT010</t>
  </si>
  <si>
    <t>08</t>
  </si>
  <si>
    <t>1</t>
  </si>
  <si>
    <t>ZXV10-F.xml</t>
  </si>
  <si>
    <t>0D</t>
  </si>
  <si>
    <t>ZXV10-H.xml</t>
  </si>
  <si>
    <t>ZXQ10</t>
  </si>
  <si>
    <t>01</t>
  </si>
  <si>
    <t>ZXT010C</t>
  </si>
  <si>
    <t>02</t>
  </si>
  <si>
    <t>067/067-VUC-1-V0</t>
  </si>
  <si>
    <t>11</t>
  </si>
  <si>
    <t>067/067-VUC-1-V1</t>
  </si>
  <si>
    <t>067/067-VUC-1-V2</t>
  </si>
  <si>
    <t>067/067-VUC-1-V3</t>
  </si>
  <si>
    <t>067/067-VUC-1-V4</t>
  </si>
  <si>
    <t>067/067-VUC-3-03</t>
  </si>
  <si>
    <t>067/067-VUC-3-17</t>
  </si>
  <si>
    <t>067/067-VUC-3-43</t>
  </si>
  <si>
    <t>067/067-VUC-3-46</t>
  </si>
  <si>
    <t>067/067-VUC-3-E1</t>
  </si>
  <si>
    <t>067/067-VUC-3-V5</t>
  </si>
  <si>
    <t>067/067-VUC-3-V6</t>
  </si>
  <si>
    <t>067/067-VUC-3-V7</t>
  </si>
  <si>
    <t>067/067-VUC-3-V8</t>
  </si>
  <si>
    <t>067/067-VUC-3-V9</t>
  </si>
  <si>
    <t>067/067-VUC-3-Z1</t>
  </si>
  <si>
    <t>067/067-VUC-3-Z2</t>
  </si>
  <si>
    <t>067/067-VUC-7-17</t>
  </si>
  <si>
    <t>067/067-VUC-9-13</t>
  </si>
  <si>
    <t>067/067-VUC-9-19</t>
  </si>
  <si>
    <t>067/067-VUC-9-30</t>
  </si>
  <si>
    <t>067/067-VUC-9-31</t>
  </si>
  <si>
    <t>067/067-VUC-9-VA</t>
  </si>
  <si>
    <t>067/CCD51-VUC-4-30</t>
  </si>
  <si>
    <t>067/CCD51-VUC-4-33</t>
  </si>
  <si>
    <t>067/V0</t>
  </si>
  <si>
    <t>067/V1</t>
  </si>
  <si>
    <t>067/V2</t>
  </si>
  <si>
    <t>067/V3</t>
  </si>
  <si>
    <t>067/V4</t>
  </si>
  <si>
    <t>067/V5</t>
  </si>
  <si>
    <t>067/V6</t>
  </si>
  <si>
    <t>067/V7</t>
  </si>
  <si>
    <t>067/V8</t>
  </si>
  <si>
    <t>067/V9</t>
  </si>
  <si>
    <t>067/VA</t>
  </si>
  <si>
    <t>C0H/CAL001</t>
  </si>
  <si>
    <t>C0H/CAL002</t>
  </si>
  <si>
    <t>C0H/CMPCUR</t>
  </si>
  <si>
    <t>C0H/CPSPS2</t>
  </si>
  <si>
    <t>C0H/FSA001</t>
  </si>
  <si>
    <t>C0H/FSA002</t>
  </si>
  <si>
    <t>C0H/FSA003</t>
  </si>
  <si>
    <t>C0H/FSA006</t>
  </si>
  <si>
    <t>C0H/KEST01</t>
  </si>
  <si>
    <t>C0H/KEST02</t>
  </si>
  <si>
    <t>C0H/KEST03</t>
  </si>
  <si>
    <t>C0H/KEST04</t>
  </si>
  <si>
    <t>C0H/KEST05</t>
  </si>
  <si>
    <t>C0H/KIST00</t>
  </si>
  <si>
    <t>C0H/KIST01</t>
  </si>
  <si>
    <t>C0H/KIST02</t>
  </si>
  <si>
    <t>C0H/KIST03</t>
  </si>
  <si>
    <t>C0H/LOSCGS</t>
  </si>
  <si>
    <t>C0H/LOSOTH</t>
  </si>
  <si>
    <t>C0H/LOT001</t>
  </si>
  <si>
    <t>C0H/LOT002</t>
  </si>
  <si>
    <t>C0H/LOT004</t>
  </si>
  <si>
    <t>C0H/LOT007</t>
  </si>
  <si>
    <t>C0H/LOTANN</t>
  </si>
  <si>
    <t>C0H/LOXCGS</t>
  </si>
  <si>
    <t>C0H/LOXOTH</t>
  </si>
  <si>
    <t>C0H/MSGMSG</t>
  </si>
  <si>
    <t>C0H/NEGPCD</t>
  </si>
  <si>
    <t>C0H/NVCER2</t>
  </si>
  <si>
    <t>C0H/NVCERT</t>
  </si>
  <si>
    <t>C0H/POS001</t>
  </si>
  <si>
    <t>C0H/POS002</t>
  </si>
  <si>
    <t>C0H/POSPCD</t>
  </si>
  <si>
    <t>C0H/RVUBRT</t>
  </si>
  <si>
    <t>C0H/SHLCGS</t>
  </si>
  <si>
    <t>C0H/SHLOTH</t>
  </si>
  <si>
    <t>C0H/SOLZ01</t>
  </si>
  <si>
    <t>C0I/B5A02CC0000A0006</t>
  </si>
  <si>
    <t>2</t>
  </si>
  <si>
    <t>C0I/B5A07CC0000A0002</t>
  </si>
  <si>
    <t>ZXT01001</t>
  </si>
  <si>
    <t>12</t>
  </si>
  <si>
    <t>ZXT01002</t>
  </si>
  <si>
    <t>ZXT01003</t>
  </si>
  <si>
    <t>ZXT01004</t>
  </si>
  <si>
    <t>ZXT01005</t>
  </si>
  <si>
    <t>ZXT01006</t>
  </si>
  <si>
    <t>ZXT01007</t>
  </si>
  <si>
    <t>ZXT01008</t>
  </si>
  <si>
    <t>ZXT01009</t>
  </si>
  <si>
    <t>ZXT01010</t>
  </si>
  <si>
    <t>ZXT01011</t>
  </si>
  <si>
    <t>ZXT01012</t>
  </si>
  <si>
    <t>ZXREPDGS</t>
  </si>
  <si>
    <t>15</t>
  </si>
  <si>
    <t>16</t>
  </si>
  <si>
    <t>ZXT01001/CWDE2/CH/01/000100S00S00000000000</t>
  </si>
  <si>
    <t>JR</t>
  </si>
  <si>
    <t>ZXT01002/CWDE2/CH/01/000100S00S00000000000</t>
  </si>
  <si>
    <t>ZXT01003/CWDE2/CH/01/000100S00S00000000000</t>
  </si>
  <si>
    <t>ZXT01004/CWDE2/CH/01/000100S00S00000000000</t>
  </si>
  <si>
    <t>ZXT01005/CWDE2/CH/01/000100S00S00000000000</t>
  </si>
  <si>
    <t>ZXT01006/CWDE2/CH/01/000100S00S00000000000</t>
  </si>
  <si>
    <t>ZXT01007/CWDE2/CH/01/000100S00S00000000000</t>
  </si>
  <si>
    <t>ZXT01008/CWDE2/CH/01/000100S00S00000000000</t>
  </si>
  <si>
    <t>ZXT01009/CWDE2/CH/01/000100S00S00000000000</t>
  </si>
  <si>
    <t>ZXT01010/CWDE2/CH/01/000100S00S00000000000</t>
  </si>
  <si>
    <t>ZXT01011/CWDE2/CH/01/000100S00S00000000000</t>
  </si>
  <si>
    <t>ZXT01012/CWDE2/CH/01/000100S00S00000000000</t>
  </si>
  <si>
    <t>CCINVDGS</t>
  </si>
  <si>
    <t>CLE2R</t>
  </si>
  <si>
    <t>06</t>
  </si>
  <si>
    <t>ZXXXV</t>
  </si>
  <si>
    <t>03</t>
  </si>
  <si>
    <t>MMEIR</t>
  </si>
  <si>
    <t>000531BE</t>
  </si>
  <si>
    <t>000010</t>
  </si>
  <si>
    <t>P</t>
  </si>
  <si>
    <t>000000</t>
  </si>
  <si>
    <t>NUMTFT-not-added</t>
  </si>
  <si>
    <t xml:space="preserve"> </t>
  </si>
  <si>
    <t>SVRCFG</t>
  </si>
  <si>
    <t>N</t>
  </si>
  <si>
    <t>BESZ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</si>
  <si>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</si>
  <si>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</si>
  <si>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</si>
  <si>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</si>
  <si>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</si>
  <si>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</si>
  <si>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</si>
  <si>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</si>
  <si>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</si>
  <si>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</si>
  <si>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</si>
  <si>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</si>
  <si>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</si>
  <si>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</si>
  <si>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</si>
  <si>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</si>
  <si>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</si>
  <si>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</si>
  <si>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</si>
  <si>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</si>
  <si>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</si>
  <si>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</si>
  <si>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</si>
  <si>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</si>
  <si>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</si>
  <si>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pk_genCopy -e ZXQ10</t>
  </si>
  <si>
    <t>000130</t>
  </si>
  <si>
    <t>BESU</t>
  </si>
  <si>
    <t>pk_readdef $proc/def/zxq10</t>
  </si>
  <si>
    <t>000140</t>
  </si>
  <si>
    <t>pk_filedesc ZXQ10 M</t>
  </si>
  <si>
    <t>000150</t>
  </si>
  <si>
    <t>pk_ld -o -f -d</t>
  </si>
  <si>
    <t>000160</t>
  </si>
  <si>
    <t>pk_cm_generate_dba PACK-PRG-0032 TOS-000531BE U</t>
  </si>
  <si>
    <t>000170</t>
  </si>
  <si>
    <t>Check and execute the DBA run sheet $proc/cr_create/dba.PACK-PRG-0032.TOS-000531BE.S.U.runsheet.txt</t>
  </si>
  <si>
    <t>000180</t>
  </si>
  <si>
    <t>A</t>
  </si>
  <si>
    <t>pk_insert_in_server ZXT010</t>
  </si>
  <si>
    <t>000190</t>
  </si>
  <si>
    <t>pk_genCopy -e ZXT010C</t>
  </si>
  <si>
    <t>000200</t>
  </si>
  <si>
    <t>pk_genCopy -e ZXXXV</t>
  </si>
  <si>
    <t>000210</t>
  </si>
  <si>
    <t>700200</t>
  </si>
  <si>
    <t>PARAM</t>
  </si>
  <si>
    <t>mkdir \$INTF_OU/VUC/</t>
  </si>
  <si>
    <t>000310</t>
  </si>
  <si>
    <t>000230</t>
  </si>
  <si>
    <t>pk_check_upgrade</t>
  </si>
  <si>
    <t>000320</t>
  </si>
  <si>
    <t>000240</t>
  </si>
  <si>
    <t>pk_submit -y CHKUPGD &lt;NBRSOC&gt;</t>
  </si>
  <si>
    <t>000330</t>
  </si>
  <si>
    <t>000250</t>
  </si>
  <si>
    <t>pk_cache BES enable</t>
  </si>
  <si>
    <t>000340</t>
  </si>
  <si>
    <t>000260</t>
  </si>
  <si>
    <t>Enable the Thaler BAS/FAS caches (JMX:cacheBean:enableAllCaches)</t>
  </si>
  <si>
    <t>000350</t>
  </si>
  <si>
    <t>C</t>
  </si>
  <si>
    <t>000270</t>
  </si>
  <si>
    <t>pk_importYE -d ./YE ./list_mnt.txt</t>
  </si>
  <si>
    <t>CLE2R.cbl</t>
  </si>
  <si>
    <t>psa#1415</t>
  </si>
  <si>
    <t>cbl</t>
  </si>
  <si>
    <t>psa#26</t>
  </si>
  <si>
    <t>br#1</t>
  </si>
  <si>
    <t>ZXT010.cbl</t>
  </si>
  <si>
    <t>psa#1</t>
  </si>
  <si>
    <t>batch_j2</t>
  </si>
  <si>
    <t>dir</t>
  </si>
  <si>
    <t>psa#4.3.11</t>
  </si>
  <si>
    <t>br#15</t>
  </si>
  <si>
    <t>psa#4.3.12</t>
  </si>
  <si>
    <t>ZX0010X.cbl</t>
  </si>
  <si>
    <t>psa#1433</t>
  </si>
  <si>
    <t>psa#2</t>
  </si>
  <si>
    <t>xml</t>
  </si>
  <si>
    <t>7</t>
  </si>
  <si>
    <t>copy_xml</t>
  </si>
  <si>
    <t>3</t>
  </si>
  <si>
    <t>copy</t>
  </si>
  <si>
    <t>file</t>
  </si>
  <si>
    <t>src_thaler</t>
  </si>
  <si>
    <t>psa#3</t>
  </si>
  <si>
    <t>MMEIR.cbl</t>
  </si>
  <si>
    <t>psa#1462</t>
  </si>
  <si>
    <t>psa#14</t>
  </si>
  <si>
    <t>psa#1566</t>
  </si>
  <si>
    <t>YAD01</t>
  </si>
  <si>
    <t>TAD01</t>
  </si>
  <si>
    <t>HDD01</t>
  </si>
  <si>
    <t>HDD02</t>
  </si>
  <si>
    <t>HDD03</t>
  </si>
  <si>
    <t>HDD05</t>
  </si>
  <si>
    <t>HDD07</t>
  </si>
  <si>
    <t>HDD16</t>
  </si>
  <si>
    <t>HDD09</t>
  </si>
  <si>
    <t>HDD10</t>
  </si>
  <si>
    <t>HDD12</t>
  </si>
  <si>
    <t>CWD01</t>
  </si>
  <si>
    <t>CWDE2</t>
  </si>
  <si>
    <t>VAD01</t>
  </si>
  <si>
    <t>CWD05</t>
  </si>
  <si>
    <t>CWD35</t>
  </si>
  <si>
    <t>CWD02</t>
  </si>
  <si>
    <t>CWD23</t>
  </si>
  <si>
    <t>DPD04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</si>
</sst>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23" fillId="36" borderId="32" applyNumberFormat="0" applyAlignment="0" applyProtection="0"/>
    <xf numFmtId="0" fontId="24" fillId="37" borderId="0" applyNumberFormat="0" applyBorder="0" applyAlignment="0" applyProtection="0"/>
  </cellStyleXfs>
  <cellXfs count="74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0" fillId="0" borderId="0" xfId="0" applyFill="1"/>
    <xf numFmtId="0" fontId="20" fillId="0" borderId="0" xfId="42"/>
    <xf numFmtId="0" fontId="20" fillId="0" borderId="22" xfId="42" applyBorder="1" applyAlignment="1"/>
    <xf numFmtId="0" fontId="20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3" fillId="36" borderId="32" xfId="44" applyNumberFormat="1" applyFont="1" applyAlignment="1" applyProtection="1"/>
    <xf numFmtId="0" fontId="23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4" fillId="37" borderId="32" xfId="45" applyNumberFormat="1" applyFont="1" applyBorder="1" applyAlignment="1" applyProtection="1"/>
    <xf numFmtId="0" fontId="24" fillId="37" borderId="0" xfId="45" applyNumberFormat="1" applyFont="1" applyBorder="1" applyAlignment="1" applyProtection="1"/>
    <xf numFmtId="0" fontId="23" fillId="36" borderId="34" xfId="44" applyNumberFormat="1" applyFont="1" applyBorder="1" applyAlignment="1" applyProtection="1"/>
    <xf numFmtId="0" fontId="23" fillId="36" borderId="32" xfId="44"/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8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externalLinks/externalLink1.xml" Type="http://schemas.openxmlformats.org/officeDocument/2006/relationships/externalLink"/>
<Relationship Id="rId14" Target="theme/theme1.xml" Type="http://schemas.openxmlformats.org/officeDocument/2006/relationships/theme"/>
<Relationship Id="rId15" Target="styles.xml" Type="http://schemas.openxmlformats.org/officeDocument/2006/relationships/styles"/>
<Relationship Id="rId16" Target="sharedStrings.xml" Type="http://schemas.openxmlformats.org/officeDocument/2006/relationships/sharedStrings"/>
<Relationship Id="rId17" Target="calcChain.xml" Type="http://schemas.openxmlformats.org/officeDocument/2006/relationships/calcChain"/>
<Relationship Id="rId18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/>
    </sheetView>
  </sheetViews>
  <sheetFormatPr defaultRowHeight="15" x14ac:dyDescent="0.25"/>
  <cols>
    <col min="1" max="1" bestFit="true" customWidth="true" style="20" width="7.5703125" collapsed="true"/>
    <col min="2" max="2" bestFit="true" customWidth="true" style="35" width="13.5703125" collapsed="true"/>
    <col min="3" max="3" bestFit="true" customWidth="true" style="20" width="72.5703125" collapsed="true"/>
    <col min="4" max="4" bestFit="true" customWidth="true" style="20" width="7.85546875" collapsed="true"/>
    <col min="5" max="5" bestFit="true" customWidth="true" style="20" width="7.140625" collapsed="true"/>
    <col min="6" max="6" bestFit="true" customWidth="true" style="20" width="16.42578125" collapsed="true"/>
    <col min="7" max="7" bestFit="true" customWidth="true" style="20" width="15.0" collapsed="true"/>
    <col min="8" max="8" bestFit="true" customWidth="true" style="20" width="5.7109375" collapsed="true"/>
    <col min="9" max="9" bestFit="true" customWidth="true" style="20" width="73.28515625" collapsed="true"/>
    <col min="10" max="10" bestFit="true" customWidth="true" style="20" width="100.28515625" collapsed="true"/>
    <col min="11" max="11" customWidth="true" style="20" width="58.85546875" collapsed="true"/>
    <col min="12" max="16384" style="20" width="9.140625" collapsed="true"/>
  </cols>
  <sheetData>
    <row r="1" spans="1:10" ht="3.75" customHeight="1" x14ac:dyDescent="0.25">
      <c r="A1" s="16"/>
      <c r="B1" s="34"/>
      <c r="C1" s="17"/>
      <c r="D1" s="17"/>
      <c r="E1" s="18"/>
      <c r="F1" s="19"/>
      <c r="G1" s="19"/>
      <c r="H1" s="19"/>
      <c r="I1" s="19"/>
      <c r="J1"/>
    </row>
    <row r="2" spans="1:10" ht="15" customHeight="1" x14ac:dyDescent="0.25">
      <c r="A2" s="68" t="s">
        <v>5</v>
      </c>
      <c r="B2" s="69"/>
      <c r="C2" s="23" t="s">
        <v>278</v>
      </c>
      <c r="D2" s="24"/>
      <c r="E2" s="22" t="s">
        <v>126</v>
      </c>
      <c r="F2" s="20" t="s">
        <v>279</v>
      </c>
      <c r="G2" s="22" t="s">
        <v>127</v>
      </c>
      <c r="H2" s="20" t="s">
        <v>280</v>
      </c>
      <c r="I2" s="25"/>
      <c r="J2"/>
    </row>
    <row r="3" spans="1:10" ht="3.75" customHeight="1" x14ac:dyDescent="0.25">
      <c r="A3" s="21"/>
      <c r="B3" s="36"/>
      <c r="C3" s="24"/>
      <c r="D3" s="24"/>
      <c r="E3" s="24"/>
      <c r="F3" s="24"/>
      <c r="G3" s="24"/>
      <c r="H3" s="24"/>
      <c r="I3" s="25"/>
      <c r="J3"/>
    </row>
    <row r="4" spans="1:10" ht="15" customHeight="1" x14ac:dyDescent="0.25">
      <c r="A4" s="68" t="s">
        <v>129</v>
      </c>
      <c r="B4" s="70"/>
      <c r="C4" s="41"/>
      <c r="D4" s="24"/>
      <c r="E4" s="22" t="s">
        <v>3</v>
      </c>
      <c r="F4" s="23" t="s">
        <v>159</v>
      </c>
      <c r="G4" s="22" t="s">
        <v>128</v>
      </c>
      <c r="H4" s="23" t="s">
        <v>44</v>
      </c>
      <c r="I4" s="25"/>
      <c r="J4"/>
    </row>
    <row r="5" spans="1:10" ht="3.75" customHeight="1" x14ac:dyDescent="0.25">
      <c r="A5" s="21"/>
      <c r="B5" s="36"/>
      <c r="C5" s="24"/>
      <c r="D5" s="24"/>
      <c r="E5" s="25"/>
      <c r="F5" s="24"/>
      <c r="G5" s="24"/>
      <c r="H5" s="24"/>
      <c r="I5" s="25"/>
      <c r="J5"/>
    </row>
    <row r="6" spans="1:10" ht="3.75" customHeight="1" x14ac:dyDescent="0.25">
      <c r="A6" s="21"/>
      <c r="B6" s="36"/>
      <c r="C6" s="24"/>
      <c r="D6" s="24"/>
      <c r="E6" s="24"/>
      <c r="F6" s="24"/>
      <c r="G6" s="24"/>
      <c r="H6" s="24"/>
      <c r="I6" s="25"/>
      <c r="J6"/>
    </row>
    <row r="7" spans="1:10" ht="15" customHeight="1" x14ac:dyDescent="0.25">
      <c r="A7" s="68" t="s">
        <v>153</v>
      </c>
      <c r="B7" s="69"/>
      <c r="C7" s="45"/>
      <c r="D7" s="24"/>
      <c r="E7" s="22" t="s">
        <v>130</v>
      </c>
      <c r="F7" s="26"/>
      <c r="G7" s="22" t="s">
        <v>131</v>
      </c>
      <c r="H7" s="41"/>
      <c r="I7" s="25"/>
      <c r="J7"/>
    </row>
    <row r="8" spans="1:10" ht="3.75" customHeight="1" x14ac:dyDescent="0.25">
      <c r="A8" s="21"/>
      <c r="B8" s="36"/>
      <c r="C8" s="24"/>
      <c r="D8" s="24"/>
      <c r="E8" s="22"/>
      <c r="F8" s="25"/>
      <c r="G8" s="25"/>
      <c r="H8" s="22"/>
      <c r="I8" s="25"/>
      <c r="J8"/>
    </row>
    <row r="9" spans="1:10" ht="15" customHeight="1" x14ac:dyDescent="0.25">
      <c r="A9" s="68" t="s">
        <v>132</v>
      </c>
      <c r="B9" s="69"/>
      <c r="C9" t="s">
        <v>277</v>
      </c>
      <c r="D9" s="24"/>
      <c r="E9" s="22" t="s">
        <v>171</v>
      </c>
      <c r="F9" s="26" t="s">
        <v>169</v>
      </c>
      <c r="G9" s="22" t="s">
        <v>170</v>
      </c>
      <c r="H9" s="26" t="s">
        <v>169</v>
      </c>
      <c r="I9" s="25"/>
      <c r="J9"/>
    </row>
    <row r="10" spans="1:10" ht="3.75" customHeight="1" x14ac:dyDescent="0.25">
      <c r="A10" s="21"/>
      <c r="B10" s="36"/>
      <c r="C10" s="24"/>
      <c r="D10" s="24"/>
      <c r="E10" s="25"/>
      <c r="F10" s="24"/>
      <c r="G10" s="24"/>
      <c r="H10" s="24"/>
      <c r="I10" s="24"/>
      <c r="J10"/>
    </row>
    <row r="11" spans="1:10" ht="15" customHeight="1" x14ac:dyDescent="0.25">
      <c r="A11" s="68" t="s">
        <v>154</v>
      </c>
      <c r="B11" s="69"/>
      <c r="C11" s="40"/>
      <c r="D11" s="27"/>
      <c r="E11" s="27"/>
      <c r="F11" s="27"/>
      <c r="G11" s="27"/>
      <c r="H11" s="27"/>
      <c r="I11" s="28"/>
      <c r="J11"/>
    </row>
    <row r="12" spans="1:10" ht="3.75" customHeight="1" thickBot="1" x14ac:dyDescent="0.3">
      <c r="A12" s="29"/>
      <c r="B12" s="37"/>
      <c r="C12" s="30"/>
      <c r="D12" s="30"/>
      <c r="E12" s="31"/>
      <c r="F12" s="31"/>
      <c r="G12" s="31"/>
      <c r="H12" s="31"/>
      <c r="I12" s="31"/>
      <c r="J12"/>
    </row>
    <row r="13" spans="1:10" ht="15.75" thickBot="1" x14ac:dyDescent="0.3">
      <c r="A13" s="67" t="str">
        <f>CONCATENATE("cd $SH/rmm_32",";","pk_RMM_execProc RMM.cfg RMM_upgradeEnv ",C9)</f>
        <v>cd $SH/rmm_32;pk_RMM_execProc RMM.cfg RMM_upgradeEnv PACK-XXX-XXXX</v>
      </c>
      <c r="B13" s="67"/>
      <c r="C13" s="67"/>
      <c r="D13" s="67"/>
      <c r="E13" s="67"/>
      <c r="F13" s="67"/>
      <c r="G13" s="67"/>
      <c r="H13" s="67"/>
      <c r="I13" s="67"/>
    </row>
    <row r="14" spans="1:10" ht="15" customHeight="1" thickTop="1" x14ac:dyDescent="0.25">
      <c r="A14" s="32" t="s">
        <v>3</v>
      </c>
      <c r="B14" s="58" t="s">
        <v>141</v>
      </c>
      <c r="C14" s="32" t="s">
        <v>6</v>
      </c>
      <c r="D14" s="58" t="s">
        <v>133</v>
      </c>
      <c r="E14" s="58" t="s">
        <v>134</v>
      </c>
      <c r="F14" s="71" t="s">
        <v>8</v>
      </c>
      <c r="G14" s="72"/>
      <c r="H14" s="72"/>
      <c r="I14" s="72"/>
    </row>
    <row r="15" spans="1:10" x14ac:dyDescent="0.25">
      <c r="A15" s="33" t="s">
        <v>0</v>
      </c>
      <c r="B15" s="38" t="s">
        <v>142</v>
      </c>
      <c r="C15" s="33" t="s">
        <v>135</v>
      </c>
      <c r="D15" s="42"/>
      <c r="E15" s="42"/>
      <c r="F15" s="73"/>
      <c r="G15" s="73"/>
      <c r="H15" s="73"/>
      <c r="I15" s="73"/>
    </row>
    <row r="16" spans="1:10" x14ac:dyDescent="0.25">
      <c r="A16" s="33" t="s">
        <v>159</v>
      </c>
      <c r="B16" s="38" t="s">
        <v>142</v>
      </c>
      <c r="C16" s="33" t="s">
        <v>138</v>
      </c>
      <c r="D16" s="42"/>
      <c r="E16" s="33"/>
      <c r="F16" s="73"/>
      <c r="G16" s="73"/>
      <c r="H16" s="73"/>
      <c r="I16" s="73"/>
    </row>
    <row r="17" spans="1:9" x14ac:dyDescent="0.25">
      <c r="A17" s="33" t="s">
        <v>159</v>
      </c>
      <c r="B17" s="38" t="s">
        <v>142</v>
      </c>
      <c r="C17" s="33" t="s">
        <v>136</v>
      </c>
      <c r="D17" s="42"/>
      <c r="E17" s="42"/>
      <c r="F17" s="73"/>
      <c r="G17" s="73"/>
      <c r="H17" s="73"/>
      <c r="I17" s="73"/>
    </row>
    <row r="18" spans="1:9" x14ac:dyDescent="0.25">
      <c r="A18" s="33" t="s">
        <v>159</v>
      </c>
      <c r="B18" s="33" t="s">
        <v>148</v>
      </c>
      <c r="C18" s="33" t="s">
        <v>139</v>
      </c>
      <c r="D18" s="42"/>
      <c r="E18" s="42"/>
      <c r="F18" s="73"/>
      <c r="G18" s="73"/>
      <c r="H18" s="73"/>
      <c r="I18" s="73"/>
    </row>
    <row r="19" spans="1:9" x14ac:dyDescent="0.25">
      <c r="A19" s="33" t="s">
        <v>159</v>
      </c>
      <c r="B19" s="38" t="s">
        <v>143</v>
      </c>
      <c r="C19" s="33" t="str">
        <f>CONCATENATE("Generate the transfer operations on ",F2)</f>
        <v>Generate the transfer operations on From here</v>
      </c>
      <c r="D19" s="42"/>
      <c r="E19" s="42"/>
      <c r="F19" s="73"/>
      <c r="G19" s="73"/>
      <c r="H19" s="73"/>
      <c r="I19" s="73"/>
    </row>
    <row r="20" spans="1:9" x14ac:dyDescent="0.25">
      <c r="A20" s="33" t="s">
        <v>159</v>
      </c>
      <c r="B20" s="38" t="s">
        <v>143</v>
      </c>
      <c r="C20" s="33" t="str">
        <f>CONCATENATE("Check the generated transfer operations for pack ",C11)</f>
        <v xml:space="preserve">Check the generated transfer operations for pack </v>
      </c>
      <c r="D20" s="42"/>
      <c r="E20" s="42"/>
      <c r="F20" s="73"/>
      <c r="G20" s="73"/>
      <c r="H20" s="73"/>
      <c r="I20" s="73"/>
    </row>
    <row r="21" spans="1:9" x14ac:dyDescent="0.25">
      <c r="A21" s="33" t="s">
        <v>159</v>
      </c>
      <c r="B21" s="38" t="s">
        <v>143</v>
      </c>
      <c r="C21" s="33" t="s">
        <v>150</v>
      </c>
      <c r="D21" s="42"/>
      <c r="E21" s="42"/>
      <c r="F21" s="73"/>
      <c r="G21" s="73"/>
      <c r="H21" s="73"/>
      <c r="I21" s="73"/>
    </row>
    <row r="22" spans="1:9" x14ac:dyDescent="0.25">
      <c r="A22" s="33" t="s">
        <v>159</v>
      </c>
      <c r="B22" s="38" t="s">
        <v>143</v>
      </c>
      <c r="C22" s="33" t="s">
        <v>149</v>
      </c>
      <c r="D22" s="42"/>
      <c r="E22" s="42"/>
      <c r="F22" s="73"/>
      <c r="G22" s="73"/>
      <c r="H22" s="73"/>
      <c r="I22" s="73"/>
    </row>
    <row r="23" spans="1:9" x14ac:dyDescent="0.25">
      <c r="A23" s="33" t="s">
        <v>159</v>
      </c>
      <c r="B23" s="38" t="s">
        <v>144</v>
      </c>
      <c r="C23" s="33" t="str">
        <f>CONCATENATE("Add the Synergy tasks to the manual folder of ",H2)</f>
        <v>Add the Synergy tasks to the manual folder of To here</v>
      </c>
      <c r="D23" s="42"/>
      <c r="E23" s="42"/>
      <c r="F23" s="73"/>
      <c r="G23" s="73"/>
      <c r="H23" s="73"/>
      <c r="I23" s="73"/>
    </row>
    <row r="24" spans="1:9" x14ac:dyDescent="0.25">
      <c r="A24" s="33" t="s">
        <v>159</v>
      </c>
      <c r="B24" s="38" t="s">
        <v>144</v>
      </c>
      <c r="C24" s="33" t="str">
        <f>CONCATENATE("Update the Synergy project THALER~",H2)</f>
        <v>Update the Synergy project THALER~To here</v>
      </c>
      <c r="D24" s="42"/>
      <c r="E24" s="42"/>
      <c r="F24" s="73"/>
      <c r="G24" s="73"/>
      <c r="H24" s="73"/>
      <c r="I24" s="73"/>
    </row>
    <row r="25" spans="1:9" x14ac:dyDescent="0.25">
      <c r="A25" s="33" t="s">
        <v>159</v>
      </c>
      <c r="B25" s="38" t="s">
        <v>144</v>
      </c>
      <c r="C25" s="33" t="str">
        <f>CONCATENATE("Detect the conflicts of the Synergy project THALER~",H2)</f>
        <v>Detect the conflicts of the Synergy project THALER~To here</v>
      </c>
      <c r="D25" s="42"/>
      <c r="E25" s="42"/>
      <c r="F25" s="73"/>
      <c r="G25" s="73"/>
      <c r="H25" s="73"/>
      <c r="I25" s="73"/>
    </row>
    <row r="26" spans="1:9" x14ac:dyDescent="0.25">
      <c r="A26" s="33" t="s">
        <v>159</v>
      </c>
      <c r="B26" s="38" t="s">
        <v>144</v>
      </c>
      <c r="C26" s="33" t="str">
        <f>CONCATENATE(" Synchronize the Synergy work area of the project THALER~",H2)</f>
        <v xml:space="preserve"> Synchronize the Synergy work area of the project THALER~To here</v>
      </c>
      <c r="D26" s="42"/>
      <c r="E26" s="42"/>
      <c r="F26" s="73"/>
      <c r="G26" s="73"/>
      <c r="H26" s="73"/>
      <c r="I26" s="73"/>
    </row>
    <row r="27" spans="1:9" x14ac:dyDescent="0.25">
      <c r="A27" s="33" t="s">
        <v>159</v>
      </c>
      <c r="B27" s="38" t="s">
        <v>145</v>
      </c>
      <c r="C27" s="33" t="s">
        <v>151</v>
      </c>
      <c r="D27" s="42"/>
      <c r="E27" s="42"/>
      <c r="F27" s="73"/>
      <c r="G27" s="73"/>
      <c r="H27" s="73"/>
      <c r="I27" s="73"/>
    </row>
    <row r="28" spans="1:9" x14ac:dyDescent="0.25">
      <c r="A28" s="33" t="s">
        <v>159</v>
      </c>
      <c r="B28" s="38" t="s">
        <v>146</v>
      </c>
      <c r="C28" s="33" t="s">
        <v>152</v>
      </c>
      <c r="D28" s="42"/>
      <c r="E28" s="42"/>
      <c r="F28" s="73"/>
      <c r="G28" s="73"/>
      <c r="H28" s="73"/>
      <c r="I28" s="73"/>
    </row>
    <row r="29" spans="1:9" x14ac:dyDescent="0.25">
      <c r="A29" s="33" t="s">
        <v>159</v>
      </c>
      <c r="B29" s="38" t="s">
        <v>146</v>
      </c>
      <c r="C29" s="33" t="str">
        <f>CONCATENATE("Execute the 'P' transfers of the TOS ",C11," on the master BES")</f>
        <v>Execute the 'P' transfers of the TOS  on the master BES</v>
      </c>
      <c r="D29" s="42"/>
      <c r="E29" s="42"/>
      <c r="F29" s="73"/>
      <c r="G29" s="73"/>
      <c r="H29" s="73"/>
      <c r="I29" s="73"/>
    </row>
    <row r="30" spans="1:9" x14ac:dyDescent="0.25">
      <c r="A30" s="33" t="s">
        <v>159</v>
      </c>
      <c r="B30" s="38" t="s">
        <v>146</v>
      </c>
      <c r="C30" s="33" t="str">
        <f>CONCATENATE("Detect membership conflicts of the TOS '",C9,"' using the Flattening")</f>
        <v>Detect membership conflicts of the TOS 'PACK-XXX-XXXX' using the Flattening</v>
      </c>
      <c r="D30" s="42"/>
      <c r="E30" s="42"/>
      <c r="F30" s="73"/>
      <c r="G30" s="73"/>
      <c r="H30" s="73"/>
      <c r="I30" s="73"/>
    </row>
    <row r="31" spans="1:9" x14ac:dyDescent="0.25">
      <c r="A31" s="33" t="s">
        <v>159</v>
      </c>
      <c r="B31" s="38" t="s">
        <v>144</v>
      </c>
      <c r="C31" s="33" t="str">
        <f>CONCATENATE("Deploy the Synergy tasks on project THALER~",H2)</f>
        <v>Deploy the Synergy tasks on project THALER~To here</v>
      </c>
      <c r="D31" s="42"/>
      <c r="E31" s="42"/>
      <c r="F31" s="73"/>
      <c r="G31" s="73"/>
      <c r="H31" s="73"/>
      <c r="I31" s="73"/>
    </row>
    <row r="32" spans="1:9" ht="21" customHeight="1" x14ac:dyDescent="0.25">
      <c r="A32" s="33" t="s">
        <v>159</v>
      </c>
      <c r="B32" s="38" t="s">
        <v>145</v>
      </c>
      <c r="C32" s="33" t="str">
        <f>CONCATENATE("Compare all templates before their deployment into the projects of ",H2)</f>
        <v>Compare all templates before their deployment into the projects of To here</v>
      </c>
      <c r="D32" s="42"/>
      <c r="E32" s="42"/>
      <c r="F32" s="73"/>
      <c r="G32" s="73"/>
      <c r="H32" s="73"/>
      <c r="I32" s="73"/>
    </row>
    <row r="33" spans="1:9" x14ac:dyDescent="0.25">
      <c r="A33" s="33" t="s">
        <v>159</v>
      </c>
      <c r="B33" s="38" t="s">
        <v>145</v>
      </c>
      <c r="C33" s="33" t="str">
        <f>CONCATENATE("Deploy the configuration files into the projects of ",H2)</f>
        <v>Deploy the configuration files into the projects of To here</v>
      </c>
      <c r="D33" s="42"/>
      <c r="E33" s="42"/>
      <c r="F33" s="73"/>
      <c r="G33" s="73"/>
      <c r="H33" s="73"/>
      <c r="I33" s="73"/>
    </row>
    <row r="34" spans="1:9" x14ac:dyDescent="0.25">
      <c r="A34" s="33" t="s">
        <v>159</v>
      </c>
      <c r="B34" s="38" t="s">
        <v>146</v>
      </c>
      <c r="C34" s="33" t="str">
        <f>CONCATENATE("Execute the 'P/D' orders of the TOS '",C9,"' on the master BES")</f>
        <v>Execute the 'P/D' orders of the TOS 'PACK-XXX-XXXX' on the master BES</v>
      </c>
      <c r="D34" s="42"/>
      <c r="E34" s="42"/>
      <c r="F34" s="73"/>
      <c r="G34" s="73"/>
      <c r="H34" s="73"/>
      <c r="I34" s="73"/>
    </row>
    <row r="35" spans="1:9" x14ac:dyDescent="0.25">
      <c r="A35" s="33" t="s">
        <v>159</v>
      </c>
      <c r="B35" s="38" t="s">
        <v>146</v>
      </c>
      <c r="C35" s="33" t="str">
        <f>CONCATENATE("Execute the 'H' orders of the TOS '",C9,"' on the master BES")</f>
        <v>Execute the 'H' orders of the TOS 'PACK-XXX-XXXX' on the master BES</v>
      </c>
      <c r="D35" s="42"/>
      <c r="E35" s="42"/>
      <c r="F35" s="73"/>
      <c r="G35" s="73"/>
      <c r="H35" s="73"/>
      <c r="I35" s="73"/>
    </row>
    <row r="36" spans="1:9" x14ac:dyDescent="0.25">
      <c r="A36" s="33" t="s">
        <v>159</v>
      </c>
      <c r="B36" s="38" t="s">
        <v>146</v>
      </c>
      <c r="C36" s="33" t="str">
        <f>CONCATENATE("Execute the 'U/B' orders of the TOS '",C9,"' on the master BES")</f>
        <v>Execute the 'U/B' orders of the TOS 'PACK-XXX-XXXX' on the master BES</v>
      </c>
      <c r="D36" s="42"/>
      <c r="E36" s="42"/>
      <c r="F36" s="73"/>
      <c r="G36" s="73"/>
      <c r="H36" s="73"/>
      <c r="I36" s="73"/>
    </row>
    <row r="37" spans="1:9" x14ac:dyDescent="0.25">
      <c r="A37" s="33" t="s">
        <v>159</v>
      </c>
      <c r="B37" s="38" t="s">
        <v>146</v>
      </c>
      <c r="C37" s="33" t="str">
        <f>CONCATENATE("Execute the 'T/O' orders of the TOS '",C9,"' on the master BES")</f>
        <v>Execute the 'T/O' orders of the TOS 'PACK-XXX-XXXX' on the master BES</v>
      </c>
      <c r="D37" s="42"/>
      <c r="E37" s="42"/>
      <c r="F37" s="73"/>
      <c r="G37" s="73"/>
      <c r="H37" s="73"/>
      <c r="I37" s="73"/>
    </row>
    <row r="38" spans="1:9" x14ac:dyDescent="0.25">
      <c r="A38" s="33" t="s">
        <v>159</v>
      </c>
      <c r="B38" s="38" t="s">
        <v>146</v>
      </c>
      <c r="C38" s="33" t="str">
        <f>CONCATENATE("Execute the 'A' orders of the TOS '",C9,"' on the master BES")</f>
        <v>Execute the 'A' orders of the TOS 'PACK-XXX-XXXX' on the master BES</v>
      </c>
      <c r="D38" s="42"/>
      <c r="E38" s="42"/>
      <c r="F38" s="73"/>
      <c r="G38" s="73"/>
      <c r="H38" s="73"/>
      <c r="I38" s="73"/>
    </row>
    <row r="39" spans="1:9" x14ac:dyDescent="0.25">
      <c r="A39" s="33" t="s">
        <v>159</v>
      </c>
      <c r="B39" s="38" t="s">
        <v>145</v>
      </c>
      <c r="C39" s="33" t="s">
        <v>155</v>
      </c>
      <c r="D39" s="42"/>
      <c r="E39" s="42"/>
      <c r="F39" s="73"/>
      <c r="G39" s="73"/>
      <c r="H39" s="73"/>
      <c r="I39" s="73"/>
    </row>
    <row r="40" spans="1:9" x14ac:dyDescent="0.25">
      <c r="A40" s="33" t="s">
        <v>159</v>
      </c>
      <c r="B40" s="38" t="s">
        <v>147</v>
      </c>
      <c r="C40" s="33" t="str">
        <f>CONCATENATE("Build the V2 environment of ",H2)</f>
        <v>Build the V2 environment of To here</v>
      </c>
      <c r="D40" s="42"/>
      <c r="E40" s="42"/>
      <c r="F40" s="73"/>
      <c r="G40" s="73"/>
      <c r="H40" s="73"/>
      <c r="I40" s="73"/>
    </row>
    <row r="41" spans="1:9" x14ac:dyDescent="0.25">
      <c r="A41" s="33" t="s">
        <v>159</v>
      </c>
      <c r="B41" s="38" t="s">
        <v>146</v>
      </c>
      <c r="C41" s="33" t="str">
        <f>CONCATENATE("Execute the 'C' orders of the TOS '",C9,"' on the master BES")</f>
        <v>Execute the 'C' orders of the TOS 'PACK-XXX-XXXX' on the master BES</v>
      </c>
      <c r="D41" s="42"/>
      <c r="E41" s="42"/>
      <c r="F41" s="73"/>
      <c r="G41" s="73"/>
      <c r="H41" s="73"/>
      <c r="I41" s="73"/>
    </row>
    <row r="42" spans="1:9" x14ac:dyDescent="0.25">
      <c r="A42" s="33" t="s">
        <v>159</v>
      </c>
      <c r="B42" s="38" t="s">
        <v>145</v>
      </c>
      <c r="C42" s="33" t="s">
        <v>156</v>
      </c>
      <c r="D42" s="42"/>
      <c r="E42" s="42"/>
      <c r="F42" s="73"/>
      <c r="G42" s="73"/>
      <c r="H42" s="73"/>
      <c r="I42" s="73"/>
    </row>
    <row r="43" spans="1:9" x14ac:dyDescent="0.25">
      <c r="A43" s="33" t="s">
        <v>159</v>
      </c>
      <c r="B43" s="38" t="s">
        <v>148</v>
      </c>
      <c r="C43" s="33" t="s">
        <v>140</v>
      </c>
      <c r="D43" s="42"/>
      <c r="E43" s="42"/>
      <c r="F43" s="73"/>
      <c r="G43" s="73"/>
      <c r="H43" s="73"/>
      <c r="I43" s="73"/>
    </row>
    <row r="44" spans="1:9" x14ac:dyDescent="0.25">
      <c r="A44" s="33" t="s">
        <v>159</v>
      </c>
      <c r="B44" s="38" t="s">
        <v>148</v>
      </c>
      <c r="C44" s="33" t="s">
        <v>139</v>
      </c>
      <c r="D44" s="42"/>
      <c r="E44" s="42"/>
      <c r="F44" s="73"/>
      <c r="G44" s="73"/>
      <c r="H44" s="73"/>
      <c r="I44" s="73"/>
    </row>
    <row r="45" spans="1:9" x14ac:dyDescent="0.25">
      <c r="G45" s="39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17" priority="573">
      <formula>$D15="[ Bypassed ]"</formula>
    </cfRule>
    <cfRule type="expression" dxfId="316" priority="574">
      <formula>$D15="[ Done         ]"</formula>
    </cfRule>
    <cfRule type="expression" dxfId="315" priority="575">
      <formula>$D15="[ Pending… ]"</formula>
    </cfRule>
    <cfRule type="expression" dxfId="314" priority="576">
      <formula>$D15="[ To do        ]"</formula>
    </cfRule>
  </conditionalFormatting>
  <conditionalFormatting sqref="E19">
    <cfRule type="expression" dxfId="313" priority="501">
      <formula>$D19="[ Bypassed ]"</formula>
    </cfRule>
    <cfRule type="expression" dxfId="312" priority="502">
      <formula>$D19="[ Done         ]"</formula>
    </cfRule>
    <cfRule type="expression" dxfId="311" priority="503">
      <formula>$D19="[ Pending… ]"</formula>
    </cfRule>
    <cfRule type="expression" dxfId="310" priority="504">
      <formula>$D19="[ To do        ]"</formula>
    </cfRule>
  </conditionalFormatting>
  <conditionalFormatting sqref="E20">
    <cfRule type="expression" dxfId="309" priority="497">
      <formula>$D20="[ Bypassed ]"</formula>
    </cfRule>
    <cfRule type="expression" dxfId="308" priority="498">
      <formula>$D20="[ Done         ]"</formula>
    </cfRule>
    <cfRule type="expression" dxfId="307" priority="499">
      <formula>$D20="[ Pending… ]"</formula>
    </cfRule>
    <cfRule type="expression" dxfId="306" priority="500">
      <formula>$D20="[ To do        ]"</formula>
    </cfRule>
  </conditionalFormatting>
  <conditionalFormatting sqref="E39">
    <cfRule type="expression" dxfId="305" priority="473">
      <formula>$D39="[ Bypassed ]"</formula>
    </cfRule>
    <cfRule type="expression" dxfId="304" priority="474">
      <formula>$D39="[ Done         ]"</formula>
    </cfRule>
    <cfRule type="expression" dxfId="303" priority="475">
      <formula>$D39="[ Pending… ]"</formula>
    </cfRule>
    <cfRule type="expression" dxfId="302" priority="476">
      <formula>$D39="[ To do        ]"</formula>
    </cfRule>
  </conditionalFormatting>
  <conditionalFormatting sqref="E40">
    <cfRule type="expression" dxfId="301" priority="449">
      <formula>$D40="[ Bypassed ]"</formula>
    </cfRule>
    <cfRule type="expression" dxfId="300" priority="450">
      <formula>$D40="[ Done         ]"</formula>
    </cfRule>
    <cfRule type="expression" dxfId="299" priority="451">
      <formula>$D40="[ Pending… ]"</formula>
    </cfRule>
    <cfRule type="expression" dxfId="298" priority="452">
      <formula>$D40="[ To do        ]"</formula>
    </cfRule>
  </conditionalFormatting>
  <conditionalFormatting sqref="D15:D17 D20:D21 D23:E26 D23:D29 D34:E35 D34:D44">
    <cfRule type="expression" dxfId="297" priority="333">
      <formula>$D15="[ Bypassed ]"</formula>
    </cfRule>
    <cfRule type="expression" dxfId="296" priority="334">
      <formula>$D15="[ Done         ]"</formula>
    </cfRule>
    <cfRule type="expression" dxfId="295" priority="335">
      <formula>$D15="[ Pending… ]"</formula>
    </cfRule>
    <cfRule type="expression" dxfId="294" priority="336">
      <formula>$D15="[ To do        ]"</formula>
    </cfRule>
  </conditionalFormatting>
  <conditionalFormatting sqref="D40">
    <cfRule type="expression" dxfId="293" priority="321">
      <formula>$D40="[ Bypassed ]"</formula>
    </cfRule>
    <cfRule type="expression" dxfId="292" priority="322">
      <formula>$D40="[ Done         ]"</formula>
    </cfRule>
    <cfRule type="expression" dxfId="291" priority="323">
      <formula>$D40="[ Pending… ]"</formula>
    </cfRule>
    <cfRule type="expression" dxfId="290" priority="324">
      <formula>$D40="[ To do        ]"</formula>
    </cfRule>
  </conditionalFormatting>
  <conditionalFormatting sqref="D19">
    <cfRule type="expression" dxfId="289" priority="197">
      <formula>$D19="[ Bypassed ]"</formula>
    </cfRule>
    <cfRule type="expression" dxfId="288" priority="198">
      <formula>$D19="[ Done         ]"</formula>
    </cfRule>
    <cfRule type="expression" dxfId="287" priority="199">
      <formula>$D19="[ Pending… ]"</formula>
    </cfRule>
    <cfRule type="expression" dxfId="286" priority="200">
      <formula>$D19="[ To do        ]"</formula>
    </cfRule>
  </conditionalFormatting>
  <conditionalFormatting sqref="E19">
    <cfRule type="expression" dxfId="285" priority="193">
      <formula>$D19="[ Bypassed ]"</formula>
    </cfRule>
    <cfRule type="expression" dxfId="284" priority="194">
      <formula>$D19="[ Done         ]"</formula>
    </cfRule>
    <cfRule type="expression" dxfId="283" priority="195">
      <formula>$D19="[ Pending… ]"</formula>
    </cfRule>
    <cfRule type="expression" dxfId="282" priority="196">
      <formula>$D19="[ To do        ]"</formula>
    </cfRule>
  </conditionalFormatting>
  <conditionalFormatting sqref="D18:E18">
    <cfRule type="expression" dxfId="281" priority="181">
      <formula>$D18="[ Bypassed ]"</formula>
    </cfRule>
    <cfRule type="expression" dxfId="280" priority="182">
      <formula>$D18="[ Done         ]"</formula>
    </cfRule>
    <cfRule type="expression" dxfId="279" priority="183">
      <formula>$D18="[ Pending… ]"</formula>
    </cfRule>
    <cfRule type="expression" dxfId="278" priority="184">
      <formula>$D18="[ To do        ]"</formula>
    </cfRule>
  </conditionalFormatting>
  <conditionalFormatting sqref="E21">
    <cfRule type="expression" dxfId="277" priority="169">
      <formula>$D21="[ Bypassed ]"</formula>
    </cfRule>
    <cfRule type="expression" dxfId="276" priority="170">
      <formula>$D21="[ Done         ]"</formula>
    </cfRule>
    <cfRule type="expression" dxfId="275" priority="171">
      <formula>$D21="[ Pending… ]"</formula>
    </cfRule>
    <cfRule type="expression" dxfId="274" priority="172">
      <formula>$D21="[ To do        ]"</formula>
    </cfRule>
  </conditionalFormatting>
  <conditionalFormatting sqref="D22">
    <cfRule type="expression" dxfId="273" priority="157">
      <formula>$D22="[ Bypassed ]"</formula>
    </cfRule>
    <cfRule type="expression" dxfId="272" priority="158">
      <formula>$D22="[ Done         ]"</formula>
    </cfRule>
    <cfRule type="expression" dxfId="271" priority="159">
      <formula>$D22="[ Pending… ]"</formula>
    </cfRule>
    <cfRule type="expression" dxfId="270" priority="160">
      <formula>$D22="[ To do        ]"</formula>
    </cfRule>
  </conditionalFormatting>
  <conditionalFormatting sqref="E22">
    <cfRule type="expression" dxfId="269" priority="145">
      <formula>$D22="[ Bypassed ]"</formula>
    </cfRule>
    <cfRule type="expression" dxfId="268" priority="146">
      <formula>$D22="[ Done         ]"</formula>
    </cfRule>
    <cfRule type="expression" dxfId="267" priority="147">
      <formula>$D22="[ Pending… ]"</formula>
    </cfRule>
    <cfRule type="expression" dxfId="266" priority="148">
      <formula>$D22="[ To do        ]"</formula>
    </cfRule>
  </conditionalFormatting>
  <conditionalFormatting sqref="E27:E28">
    <cfRule type="expression" dxfId="265" priority="133">
      <formula>$D27="[ Bypassed ]"</formula>
    </cfRule>
    <cfRule type="expression" dxfId="264" priority="134">
      <formula>$D27="[ Done         ]"</formula>
    </cfRule>
    <cfRule type="expression" dxfId="263" priority="135">
      <formula>$D27="[ Pending… ]"</formula>
    </cfRule>
    <cfRule type="expression" dxfId="262" priority="136">
      <formula>$D27="[ To do        ]"</formula>
    </cfRule>
  </conditionalFormatting>
  <conditionalFormatting sqref="D31">
    <cfRule type="expression" dxfId="261" priority="121">
      <formula>$D31="[ Bypassed ]"</formula>
    </cfRule>
    <cfRule type="expression" dxfId="260" priority="122">
      <formula>$D31="[ Done         ]"</formula>
    </cfRule>
    <cfRule type="expression" dxfId="259" priority="123">
      <formula>$D31="[ Pending… ]"</formula>
    </cfRule>
    <cfRule type="expression" dxfId="258" priority="124">
      <formula>$D31="[ To do        ]"</formula>
    </cfRule>
  </conditionalFormatting>
  <conditionalFormatting sqref="E31">
    <cfRule type="expression" dxfId="257" priority="109">
      <formula>$D31="[ Bypassed ]"</formula>
    </cfRule>
    <cfRule type="expression" dxfId="256" priority="110">
      <formula>$D31="[ Done         ]"</formula>
    </cfRule>
    <cfRule type="expression" dxfId="255" priority="111">
      <formula>$D31="[ Pending… ]"</formula>
    </cfRule>
    <cfRule type="expression" dxfId="254" priority="112">
      <formula>$D31="[ To do        ]"</formula>
    </cfRule>
  </conditionalFormatting>
  <conditionalFormatting sqref="D32">
    <cfRule type="expression" dxfId="253" priority="97">
      <formula>$D32="[ Bypassed ]"</formula>
    </cfRule>
    <cfRule type="expression" dxfId="252" priority="98">
      <formula>$D32="[ Done         ]"</formula>
    </cfRule>
    <cfRule type="expression" dxfId="251" priority="99">
      <formula>$D32="[ Pending… ]"</formula>
    </cfRule>
    <cfRule type="expression" dxfId="250" priority="100">
      <formula>$D32="[ To do        ]"</formula>
    </cfRule>
  </conditionalFormatting>
  <conditionalFormatting sqref="E32">
    <cfRule type="expression" dxfId="249" priority="85">
      <formula>$D32="[ Bypassed ]"</formula>
    </cfRule>
    <cfRule type="expression" dxfId="248" priority="86">
      <formula>$D32="[ Done         ]"</formula>
    </cfRule>
    <cfRule type="expression" dxfId="247" priority="87">
      <formula>$D32="[ Pending… ]"</formula>
    </cfRule>
    <cfRule type="expression" dxfId="246" priority="88">
      <formula>$D32="[ To do        ]"</formula>
    </cfRule>
  </conditionalFormatting>
  <conditionalFormatting sqref="D33">
    <cfRule type="expression" dxfId="245" priority="73">
      <formula>$D33="[ Bypassed ]"</formula>
    </cfRule>
    <cfRule type="expression" dxfId="244" priority="74">
      <formula>$D33="[ Done         ]"</formula>
    </cfRule>
    <cfRule type="expression" dxfId="243" priority="75">
      <formula>$D33="[ Pending… ]"</formula>
    </cfRule>
    <cfRule type="expression" dxfId="242" priority="76">
      <formula>$D33="[ To do        ]"</formula>
    </cfRule>
  </conditionalFormatting>
  <conditionalFormatting sqref="E33">
    <cfRule type="expression" dxfId="241" priority="61">
      <formula>$D33="[ Bypassed ]"</formula>
    </cfRule>
    <cfRule type="expression" dxfId="240" priority="62">
      <formula>$D33="[ Done         ]"</formula>
    </cfRule>
    <cfRule type="expression" dxfId="239" priority="63">
      <formula>$D33="[ Pending… ]"</formula>
    </cfRule>
    <cfRule type="expression" dxfId="238" priority="64">
      <formula>$D33="[ To do        ]"</formula>
    </cfRule>
  </conditionalFormatting>
  <conditionalFormatting sqref="D41:E42">
    <cfRule type="expression" dxfId="237" priority="45">
      <formula>$D41="[ Bypassed ]"</formula>
    </cfRule>
    <cfRule type="expression" dxfId="236" priority="46">
      <formula>$D41="[ Done         ]"</formula>
    </cfRule>
    <cfRule type="expression" dxfId="235" priority="47">
      <formula>$D41="[ Pending… ]"</formula>
    </cfRule>
    <cfRule type="expression" dxfId="234" priority="48">
      <formula>$D41="[ To do        ]"</formula>
    </cfRule>
  </conditionalFormatting>
  <conditionalFormatting sqref="D43:D44">
    <cfRule type="expression" dxfId="233" priority="37">
      <formula>$D43="[ Bypassed ]"</formula>
    </cfRule>
    <cfRule type="expression" dxfId="232" priority="38">
      <formula>$D43="[ Done         ]"</formula>
    </cfRule>
    <cfRule type="expression" dxfId="231" priority="39">
      <formula>$D43="[ Pending… ]"</formula>
    </cfRule>
    <cfRule type="expression" dxfId="230" priority="40">
      <formula>$D43="[ To do        ]"</formula>
    </cfRule>
  </conditionalFormatting>
  <conditionalFormatting sqref="E43">
    <cfRule type="expression" dxfId="229" priority="29">
      <formula>$D43="[ Bypassed ]"</formula>
    </cfRule>
    <cfRule type="expression" dxfId="228" priority="30">
      <formula>$D43="[ Done         ]"</formula>
    </cfRule>
    <cfRule type="expression" dxfId="227" priority="31">
      <formula>$D43="[ Pending… ]"</formula>
    </cfRule>
    <cfRule type="expression" dxfId="226" priority="32">
      <formula>$D43="[ To do        ]"</formula>
    </cfRule>
  </conditionalFormatting>
  <conditionalFormatting sqref="E44">
    <cfRule type="expression" dxfId="225" priority="21">
      <formula>$D44="[ Bypassed ]"</formula>
    </cfRule>
    <cfRule type="expression" dxfId="224" priority="22">
      <formula>$D44="[ Done         ]"</formula>
    </cfRule>
    <cfRule type="expression" dxfId="223" priority="23">
      <formula>$D44="[ Pending… ]"</formula>
    </cfRule>
    <cfRule type="expression" dxfId="222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0" t="s">
        <v>166</v>
      </c>
      <c r="B1" s="51"/>
      <c r="C1" s="52" t="s">
        <v>137</v>
      </c>
    </row>
    <row r="2" spans="1:3" ht="15.75" thickTop="1" x14ac:dyDescent="0.25">
      <c r="A2" s="53"/>
      <c r="B2" s="5" t="s">
        <v>165</v>
      </c>
      <c r="C2" s="54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3"/>
      <c r="B3" s="5" t="s">
        <v>167</v>
      </c>
      <c r="C3" s="54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3"/>
      <c r="B4" s="44" t="s">
        <v>168</v>
      </c>
      <c r="C4" s="54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3"/>
      <c r="B5" s="5"/>
      <c r="C5" s="54"/>
    </row>
    <row r="6" spans="1:3" x14ac:dyDescent="0.25">
      <c r="A6" s="53"/>
      <c r="B6" s="5"/>
      <c r="C6" s="54"/>
    </row>
    <row r="7" spans="1:3" x14ac:dyDescent="0.25">
      <c r="A7" s="53"/>
      <c r="B7" s="5"/>
      <c r="C7" s="54"/>
    </row>
    <row r="8" spans="1:3" x14ac:dyDescent="0.25">
      <c r="A8" s="53"/>
      <c r="B8" s="5"/>
      <c r="C8" s="54"/>
    </row>
    <row r="9" spans="1:3" x14ac:dyDescent="0.25">
      <c r="A9" s="53"/>
      <c r="B9" s="5"/>
      <c r="C9" s="54"/>
    </row>
    <row r="10" spans="1:3" x14ac:dyDescent="0.25">
      <c r="A10" s="53"/>
      <c r="B10" s="5"/>
      <c r="C10" s="54"/>
    </row>
    <row r="11" spans="1:3" x14ac:dyDescent="0.25">
      <c r="A11" s="53"/>
      <c r="B11" s="5"/>
      <c r="C11" s="54"/>
    </row>
    <row r="12" spans="1:3" x14ac:dyDescent="0.25">
      <c r="A12" s="53"/>
      <c r="B12" s="5"/>
      <c r="C12" s="54"/>
    </row>
    <row r="13" spans="1:3" x14ac:dyDescent="0.25">
      <c r="A13" s="53"/>
      <c r="B13" s="5"/>
      <c r="C13" s="54"/>
    </row>
    <row r="14" spans="1:3" ht="15.75" thickBot="1" x14ac:dyDescent="0.3">
      <c r="A14" s="55"/>
      <c r="B14" s="56"/>
      <c r="C14" s="5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5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125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5" customFormat="1" ht="15.75" thickTop="1" x14ac:dyDescent="0.25"/>
    <row r="3" spans="1:12" s="15" customFormat="1" x14ac:dyDescent="0.25"/>
    <row r="4" spans="1:12" s="15" customFormat="1" x14ac:dyDescent="0.25"/>
    <row r="5" spans="1:12" s="15" customFormat="1" x14ac:dyDescent="0.25"/>
    <row r="6" spans="1:12" s="15" customFormat="1" x14ac:dyDescent="0.25"/>
    <row r="7" spans="1:12" s="15" customFormat="1" x14ac:dyDescent="0.25"/>
    <row r="8" spans="1:12" s="15" customFormat="1" x14ac:dyDescent="0.25"/>
    <row r="9" spans="1:12" s="15" customFormat="1" x14ac:dyDescent="0.25"/>
    <row r="10" spans="1:12" s="15" customFormat="1" x14ac:dyDescent="0.25"/>
    <row r="11" spans="1:12" s="15" customFormat="1" x14ac:dyDescent="0.25"/>
    <row r="12" spans="1:12" s="15" customFormat="1" x14ac:dyDescent="0.25"/>
    <row r="13" spans="1:12" s="15" customFormat="1" x14ac:dyDescent="0.25"/>
    <row r="14" spans="1:12" s="15" customFormat="1" x14ac:dyDescent="0.25"/>
    <row r="15" spans="1:12" s="15" customFormat="1" x14ac:dyDescent="0.25"/>
    <row r="16" spans="1:12" s="15" customFormat="1" x14ac:dyDescent="0.25"/>
    <row r="17" s="15" customFormat="1" x14ac:dyDescent="0.25"/>
    <row r="18" s="15" customFormat="1" x14ac:dyDescent="0.25"/>
    <row r="19" s="15" customFormat="1" x14ac:dyDescent="0.25"/>
    <row r="20" s="15" customFormat="1" x14ac:dyDescent="0.25"/>
    <row r="21" s="15" customFormat="1" x14ac:dyDescent="0.25"/>
    <row r="22" s="15" customFormat="1" x14ac:dyDescent="0.25"/>
    <row r="23" s="15" customFormat="1" x14ac:dyDescent="0.25"/>
    <row r="24" s="15" customFormat="1" x14ac:dyDescent="0.25"/>
    <row r="25" s="1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activeCell="I23" sqref="I23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59" t="s">
        <v>246</v>
      </c>
      <c r="B1" s="59" t="s">
        <v>247</v>
      </c>
      <c r="C1" s="59" t="s">
        <v>248</v>
      </c>
      <c r="D1" s="59" t="s">
        <v>249</v>
      </c>
      <c r="E1" s="59" t="s">
        <v>250</v>
      </c>
      <c r="F1" s="60" t="s">
        <v>251</v>
      </c>
    </row>
    <row r="2">
      <c r="A2" t="s">
        <v>281</v>
      </c>
      <c r="B2" t="s">
        <v>282</v>
      </c>
      <c r="C2" t="s">
        <v>283</v>
      </c>
      <c r="D2" t="s">
        <v>284</v>
      </c>
      <c r="E2" t="s">
        <v>285</v>
      </c>
      <c r="F2" t="s">
        <v>286</v>
      </c>
    </row>
    <row r="3">
      <c r="A3" t="s">
        <v>287</v>
      </c>
      <c r="B3" t="s">
        <v>282</v>
      </c>
      <c r="C3" t="s">
        <v>288</v>
      </c>
      <c r="D3" t="s">
        <v>284</v>
      </c>
      <c r="E3" t="s">
        <v>285</v>
      </c>
      <c r="F3" t="s">
        <v>289</v>
      </c>
    </row>
    <row r="4">
      <c r="A4" t="s">
        <v>290</v>
      </c>
      <c r="B4" t="s">
        <v>282</v>
      </c>
      <c r="C4" t="s">
        <v>291</v>
      </c>
      <c r="D4" t="s">
        <v>284</v>
      </c>
      <c r="E4" t="s">
        <v>285</v>
      </c>
      <c r="F4" t="s">
        <v>289</v>
      </c>
    </row>
    <row r="5">
      <c r="A5" t="s">
        <v>292</v>
      </c>
      <c r="B5" t="s">
        <v>282</v>
      </c>
      <c r="C5" t="s">
        <v>293</v>
      </c>
      <c r="D5" t="s">
        <v>284</v>
      </c>
      <c r="E5" t="s">
        <v>285</v>
      </c>
      <c r="F5" t="s">
        <v>286</v>
      </c>
    </row>
    <row r="6">
      <c r="A6" t="s">
        <v>294</v>
      </c>
      <c r="B6" t="s">
        <v>282</v>
      </c>
      <c r="C6" t="s">
        <v>295</v>
      </c>
      <c r="D6" t="s">
        <v>284</v>
      </c>
      <c r="E6" t="s">
        <v>285</v>
      </c>
      <c r="F6" t="s">
        <v>296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customWidth="true" width="40.42578125" collapsed="true"/>
    <col min="5" max="5" customWidth="true" width="11.28515625" collapsed="true"/>
    <col min="6" max="6" customWidth="true" width="9.5703125" collapsed="true"/>
  </cols>
  <sheetData>
    <row r="1" spans="1:6" ht="16.5" thickTop="1" thickBot="1" x14ac:dyDescent="0.3">
      <c r="A1" s="59" t="s">
        <v>246</v>
      </c>
      <c r="B1" s="59" t="s">
        <v>252</v>
      </c>
      <c r="C1" s="59" t="s">
        <v>253</v>
      </c>
      <c r="D1" s="59" t="s">
        <v>254</v>
      </c>
      <c r="E1" s="61" t="s">
        <v>249</v>
      </c>
      <c r="F1" s="62" t="s">
        <v>246</v>
      </c>
    </row>
    <row r="2">
      <c r="A2" t="s">
        <v>281</v>
      </c>
      <c r="B2" t="s">
        <v>297</v>
      </c>
      <c r="C2" t="s">
        <v>298</v>
      </c>
      <c r="D2" t="s">
        <v>299</v>
      </c>
    </row>
    <row r="3">
      <c r="A3" t="s">
        <v>281</v>
      </c>
      <c r="B3" t="s">
        <v>300</v>
      </c>
      <c r="C3" t="s">
        <v>301</v>
      </c>
      <c r="D3" t="s">
        <v>299</v>
      </c>
    </row>
    <row r="4">
      <c r="A4" t="s">
        <v>281</v>
      </c>
      <c r="B4" t="s">
        <v>302</v>
      </c>
      <c r="C4" t="s">
        <v>301</v>
      </c>
      <c r="D4" t="s">
        <v>299</v>
      </c>
    </row>
    <row r="5">
      <c r="A5" t="s">
        <v>281</v>
      </c>
      <c r="B5" t="s">
        <v>303</v>
      </c>
      <c r="C5" t="s">
        <v>304</v>
      </c>
      <c r="D5" t="s">
        <v>299</v>
      </c>
    </row>
    <row r="6">
      <c r="A6" t="s">
        <v>281</v>
      </c>
      <c r="B6" t="s">
        <v>305</v>
      </c>
      <c r="C6" t="s">
        <v>306</v>
      </c>
      <c r="D6" t="s">
        <v>299</v>
      </c>
    </row>
    <row r="7">
      <c r="A7" t="s">
        <v>281</v>
      </c>
      <c r="B7" t="s">
        <v>307</v>
      </c>
      <c r="C7" t="s">
        <v>308</v>
      </c>
      <c r="D7" t="s">
        <v>299</v>
      </c>
    </row>
    <row r="8">
      <c r="A8" t="s">
        <v>281</v>
      </c>
      <c r="B8" t="s">
        <v>309</v>
      </c>
      <c r="C8" t="s">
        <v>308</v>
      </c>
      <c r="D8" t="s">
        <v>299</v>
      </c>
    </row>
    <row r="9">
      <c r="A9" t="s">
        <v>281</v>
      </c>
      <c r="B9" t="s">
        <v>310</v>
      </c>
      <c r="C9" t="s">
        <v>308</v>
      </c>
      <c r="D9" t="s">
        <v>299</v>
      </c>
    </row>
    <row r="10">
      <c r="A10" t="s">
        <v>281</v>
      </c>
      <c r="B10" t="s">
        <v>311</v>
      </c>
      <c r="C10" t="s">
        <v>308</v>
      </c>
      <c r="D10" t="s">
        <v>299</v>
      </c>
    </row>
    <row r="11">
      <c r="A11" t="s">
        <v>281</v>
      </c>
      <c r="B11" t="s">
        <v>312</v>
      </c>
      <c r="C11" t="s">
        <v>308</v>
      </c>
      <c r="D11" t="s">
        <v>299</v>
      </c>
    </row>
    <row r="12">
      <c r="A12" t="s">
        <v>281</v>
      </c>
      <c r="B12" t="s">
        <v>313</v>
      </c>
      <c r="C12" t="s">
        <v>308</v>
      </c>
      <c r="D12" t="s">
        <v>299</v>
      </c>
    </row>
    <row r="13">
      <c r="A13" t="s">
        <v>281</v>
      </c>
      <c r="B13" t="s">
        <v>314</v>
      </c>
      <c r="C13" t="s">
        <v>308</v>
      </c>
      <c r="D13" t="s">
        <v>299</v>
      </c>
    </row>
    <row r="14">
      <c r="A14" t="s">
        <v>281</v>
      </c>
      <c r="B14" t="s">
        <v>315</v>
      </c>
      <c r="C14" t="s">
        <v>308</v>
      </c>
      <c r="D14" t="s">
        <v>299</v>
      </c>
    </row>
    <row r="15">
      <c r="A15" t="s">
        <v>281</v>
      </c>
      <c r="B15" t="s">
        <v>316</v>
      </c>
      <c r="C15" t="s">
        <v>308</v>
      </c>
      <c r="D15" t="s">
        <v>299</v>
      </c>
    </row>
    <row r="16">
      <c r="A16" t="s">
        <v>281</v>
      </c>
      <c r="B16" t="s">
        <v>317</v>
      </c>
      <c r="C16" t="s">
        <v>308</v>
      </c>
      <c r="D16" t="s">
        <v>299</v>
      </c>
    </row>
    <row r="17">
      <c r="A17" t="s">
        <v>281</v>
      </c>
      <c r="B17" t="s">
        <v>318</v>
      </c>
      <c r="C17" t="s">
        <v>308</v>
      </c>
      <c r="D17" t="s">
        <v>299</v>
      </c>
    </row>
    <row r="18">
      <c r="A18" t="s">
        <v>281</v>
      </c>
      <c r="B18" t="s">
        <v>319</v>
      </c>
      <c r="C18" t="s">
        <v>308</v>
      </c>
      <c r="D18" t="s">
        <v>299</v>
      </c>
    </row>
    <row r="19">
      <c r="A19" t="s">
        <v>281</v>
      </c>
      <c r="B19" t="s">
        <v>320</v>
      </c>
      <c r="C19" t="s">
        <v>308</v>
      </c>
      <c r="D19" t="s">
        <v>299</v>
      </c>
    </row>
    <row r="20">
      <c r="A20" t="s">
        <v>281</v>
      </c>
      <c r="B20" t="s">
        <v>321</v>
      </c>
      <c r="C20" t="s">
        <v>308</v>
      </c>
      <c r="D20" t="s">
        <v>299</v>
      </c>
    </row>
    <row r="21">
      <c r="A21" t="s">
        <v>281</v>
      </c>
      <c r="B21" t="s">
        <v>322</v>
      </c>
      <c r="C21" t="s">
        <v>308</v>
      </c>
      <c r="D21" t="s">
        <v>299</v>
      </c>
    </row>
    <row r="22">
      <c r="A22" t="s">
        <v>281</v>
      </c>
      <c r="B22" t="s">
        <v>323</v>
      </c>
      <c r="C22" t="s">
        <v>308</v>
      </c>
      <c r="D22" t="s">
        <v>299</v>
      </c>
    </row>
    <row r="23">
      <c r="A23" t="s">
        <v>281</v>
      </c>
      <c r="B23" t="s">
        <v>324</v>
      </c>
      <c r="C23" t="s">
        <v>308</v>
      </c>
      <c r="D23" t="s">
        <v>299</v>
      </c>
    </row>
    <row r="24">
      <c r="A24" t="s">
        <v>281</v>
      </c>
      <c r="B24" t="s">
        <v>325</v>
      </c>
      <c r="C24" t="s">
        <v>308</v>
      </c>
      <c r="D24" t="s">
        <v>299</v>
      </c>
    </row>
    <row r="25">
      <c r="A25" t="s">
        <v>281</v>
      </c>
      <c r="B25" t="s">
        <v>326</v>
      </c>
      <c r="C25" t="s">
        <v>308</v>
      </c>
      <c r="D25" t="s">
        <v>299</v>
      </c>
    </row>
    <row r="26">
      <c r="A26" t="s">
        <v>281</v>
      </c>
      <c r="B26" t="s">
        <v>327</v>
      </c>
      <c r="C26" t="s">
        <v>308</v>
      </c>
      <c r="D26" t="s">
        <v>299</v>
      </c>
    </row>
    <row r="27">
      <c r="A27" t="s">
        <v>281</v>
      </c>
      <c r="B27" t="s">
        <v>328</v>
      </c>
      <c r="C27" t="s">
        <v>308</v>
      </c>
      <c r="D27" t="s">
        <v>299</v>
      </c>
    </row>
    <row r="28">
      <c r="A28" t="s">
        <v>281</v>
      </c>
      <c r="B28" t="s">
        <v>329</v>
      </c>
      <c r="C28" t="s">
        <v>308</v>
      </c>
      <c r="D28" t="s">
        <v>299</v>
      </c>
    </row>
    <row r="29">
      <c r="A29" t="s">
        <v>281</v>
      </c>
      <c r="B29" t="s">
        <v>330</v>
      </c>
      <c r="C29" t="s">
        <v>308</v>
      </c>
      <c r="D29" t="s">
        <v>299</v>
      </c>
    </row>
    <row r="30">
      <c r="A30" t="s">
        <v>281</v>
      </c>
      <c r="B30" t="s">
        <v>331</v>
      </c>
      <c r="C30" t="s">
        <v>308</v>
      </c>
      <c r="D30" t="s">
        <v>299</v>
      </c>
    </row>
    <row r="31">
      <c r="A31" t="s">
        <v>281</v>
      </c>
      <c r="B31" t="s">
        <v>332</v>
      </c>
      <c r="C31" t="s">
        <v>308</v>
      </c>
      <c r="D31" t="s">
        <v>299</v>
      </c>
    </row>
    <row r="32">
      <c r="A32" t="s">
        <v>281</v>
      </c>
      <c r="B32" t="s">
        <v>333</v>
      </c>
      <c r="C32" t="s">
        <v>308</v>
      </c>
      <c r="D32" t="s">
        <v>299</v>
      </c>
    </row>
    <row r="33">
      <c r="A33" t="s">
        <v>281</v>
      </c>
      <c r="B33" t="s">
        <v>334</v>
      </c>
      <c r="C33" t="s">
        <v>308</v>
      </c>
      <c r="D33" t="s">
        <v>299</v>
      </c>
    </row>
    <row r="34">
      <c r="A34" t="s">
        <v>281</v>
      </c>
      <c r="B34" t="s">
        <v>335</v>
      </c>
      <c r="C34" t="s">
        <v>308</v>
      </c>
      <c r="D34" t="s">
        <v>299</v>
      </c>
    </row>
    <row r="35">
      <c r="A35" t="s">
        <v>281</v>
      </c>
      <c r="B35" t="s">
        <v>336</v>
      </c>
      <c r="C35" t="s">
        <v>308</v>
      </c>
      <c r="D35" t="s">
        <v>299</v>
      </c>
    </row>
    <row r="36">
      <c r="A36" t="s">
        <v>281</v>
      </c>
      <c r="B36" t="s">
        <v>337</v>
      </c>
      <c r="C36" t="s">
        <v>308</v>
      </c>
      <c r="D36" t="s">
        <v>299</v>
      </c>
    </row>
    <row r="37">
      <c r="A37" t="s">
        <v>281</v>
      </c>
      <c r="B37" t="s">
        <v>338</v>
      </c>
      <c r="C37" t="s">
        <v>308</v>
      </c>
      <c r="D37" t="s">
        <v>299</v>
      </c>
    </row>
    <row r="38">
      <c r="A38" t="s">
        <v>281</v>
      </c>
      <c r="B38" t="s">
        <v>339</v>
      </c>
      <c r="C38" t="s">
        <v>308</v>
      </c>
      <c r="D38" t="s">
        <v>299</v>
      </c>
    </row>
    <row r="39">
      <c r="A39" t="s">
        <v>281</v>
      </c>
      <c r="B39" t="s">
        <v>340</v>
      </c>
      <c r="C39" t="s">
        <v>308</v>
      </c>
      <c r="D39" t="s">
        <v>299</v>
      </c>
    </row>
    <row r="40">
      <c r="A40" t="s">
        <v>281</v>
      </c>
      <c r="B40" t="s">
        <v>341</v>
      </c>
      <c r="C40" t="s">
        <v>308</v>
      </c>
      <c r="D40" t="s">
        <v>299</v>
      </c>
    </row>
    <row r="41">
      <c r="A41" t="s">
        <v>281</v>
      </c>
      <c r="B41" t="s">
        <v>342</v>
      </c>
      <c r="C41" t="s">
        <v>308</v>
      </c>
      <c r="D41" t="s">
        <v>299</v>
      </c>
    </row>
    <row r="42">
      <c r="A42" t="s">
        <v>281</v>
      </c>
      <c r="B42" t="s">
        <v>343</v>
      </c>
      <c r="C42" t="s">
        <v>308</v>
      </c>
      <c r="D42" t="s">
        <v>299</v>
      </c>
    </row>
    <row r="43">
      <c r="A43" t="s">
        <v>281</v>
      </c>
      <c r="B43" t="s">
        <v>344</v>
      </c>
      <c r="C43" t="s">
        <v>308</v>
      </c>
      <c r="D43" t="s">
        <v>299</v>
      </c>
    </row>
    <row r="44">
      <c r="A44" t="s">
        <v>281</v>
      </c>
      <c r="B44" t="s">
        <v>345</v>
      </c>
      <c r="C44" t="s">
        <v>308</v>
      </c>
      <c r="D44" t="s">
        <v>299</v>
      </c>
    </row>
    <row r="45">
      <c r="A45" t="s">
        <v>281</v>
      </c>
      <c r="B45" t="s">
        <v>346</v>
      </c>
      <c r="C45" t="s">
        <v>308</v>
      </c>
      <c r="D45" t="s">
        <v>299</v>
      </c>
    </row>
    <row r="46">
      <c r="A46" t="s">
        <v>281</v>
      </c>
      <c r="B46" t="s">
        <v>347</v>
      </c>
      <c r="C46" t="s">
        <v>308</v>
      </c>
      <c r="D46" t="s">
        <v>299</v>
      </c>
    </row>
    <row r="47">
      <c r="A47" t="s">
        <v>281</v>
      </c>
      <c r="B47" t="s">
        <v>348</v>
      </c>
      <c r="C47" t="s">
        <v>308</v>
      </c>
      <c r="D47" t="s">
        <v>299</v>
      </c>
    </row>
    <row r="48">
      <c r="A48" t="s">
        <v>281</v>
      </c>
      <c r="B48" t="s">
        <v>349</v>
      </c>
      <c r="C48" t="s">
        <v>308</v>
      </c>
      <c r="D48" t="s">
        <v>299</v>
      </c>
    </row>
    <row r="49">
      <c r="A49" t="s">
        <v>281</v>
      </c>
      <c r="B49" t="s">
        <v>350</v>
      </c>
      <c r="C49" t="s">
        <v>308</v>
      </c>
      <c r="D49" t="s">
        <v>299</v>
      </c>
    </row>
    <row r="50">
      <c r="A50" t="s">
        <v>281</v>
      </c>
      <c r="B50" t="s">
        <v>351</v>
      </c>
      <c r="C50" t="s">
        <v>308</v>
      </c>
      <c r="D50" t="s">
        <v>299</v>
      </c>
    </row>
    <row r="51">
      <c r="A51" t="s">
        <v>281</v>
      </c>
      <c r="B51" t="s">
        <v>352</v>
      </c>
      <c r="C51" t="s">
        <v>308</v>
      </c>
      <c r="D51" t="s">
        <v>299</v>
      </c>
    </row>
    <row r="52">
      <c r="A52" t="s">
        <v>281</v>
      </c>
      <c r="B52" t="s">
        <v>353</v>
      </c>
      <c r="C52" t="s">
        <v>308</v>
      </c>
      <c r="D52" t="s">
        <v>299</v>
      </c>
    </row>
    <row r="53">
      <c r="A53" t="s">
        <v>281</v>
      </c>
      <c r="B53" t="s">
        <v>354</v>
      </c>
      <c r="C53" t="s">
        <v>308</v>
      </c>
      <c r="D53" t="s">
        <v>299</v>
      </c>
    </row>
    <row r="54">
      <c r="A54" t="s">
        <v>281</v>
      </c>
      <c r="B54" t="s">
        <v>355</v>
      </c>
      <c r="C54" t="s">
        <v>308</v>
      </c>
      <c r="D54" t="s">
        <v>299</v>
      </c>
    </row>
    <row r="55">
      <c r="A55" t="s">
        <v>281</v>
      </c>
      <c r="B55" t="s">
        <v>356</v>
      </c>
      <c r="C55" t="s">
        <v>308</v>
      </c>
      <c r="D55" t="s">
        <v>299</v>
      </c>
    </row>
    <row r="56">
      <c r="A56" t="s">
        <v>281</v>
      </c>
      <c r="B56" t="s">
        <v>357</v>
      </c>
      <c r="C56" t="s">
        <v>308</v>
      </c>
      <c r="D56" t="s">
        <v>299</v>
      </c>
    </row>
    <row r="57">
      <c r="A57" t="s">
        <v>281</v>
      </c>
      <c r="B57" t="s">
        <v>358</v>
      </c>
      <c r="C57" t="s">
        <v>308</v>
      </c>
      <c r="D57" t="s">
        <v>299</v>
      </c>
    </row>
    <row r="58">
      <c r="A58" t="s">
        <v>281</v>
      </c>
      <c r="B58" t="s">
        <v>359</v>
      </c>
      <c r="C58" t="s">
        <v>308</v>
      </c>
      <c r="D58" t="s">
        <v>299</v>
      </c>
    </row>
    <row r="59">
      <c r="A59" t="s">
        <v>281</v>
      </c>
      <c r="B59" t="s">
        <v>360</v>
      </c>
      <c r="C59" t="s">
        <v>308</v>
      </c>
      <c r="D59" t="s">
        <v>299</v>
      </c>
    </row>
    <row r="60">
      <c r="A60" t="s">
        <v>281</v>
      </c>
      <c r="B60" t="s">
        <v>361</v>
      </c>
      <c r="C60" t="s">
        <v>308</v>
      </c>
      <c r="D60" t="s">
        <v>299</v>
      </c>
    </row>
    <row r="61">
      <c r="A61" t="s">
        <v>281</v>
      </c>
      <c r="B61" t="s">
        <v>362</v>
      </c>
      <c r="C61" t="s">
        <v>308</v>
      </c>
      <c r="D61" t="s">
        <v>299</v>
      </c>
    </row>
    <row r="62">
      <c r="A62" t="s">
        <v>281</v>
      </c>
      <c r="B62" t="s">
        <v>363</v>
      </c>
      <c r="C62" t="s">
        <v>308</v>
      </c>
      <c r="D62" t="s">
        <v>299</v>
      </c>
    </row>
    <row r="63">
      <c r="A63" t="s">
        <v>281</v>
      </c>
      <c r="B63" t="s">
        <v>364</v>
      </c>
      <c r="C63" t="s">
        <v>308</v>
      </c>
      <c r="D63" t="s">
        <v>299</v>
      </c>
    </row>
    <row r="64">
      <c r="A64" t="s">
        <v>281</v>
      </c>
      <c r="B64" t="s">
        <v>365</v>
      </c>
      <c r="C64" t="s">
        <v>308</v>
      </c>
      <c r="D64" t="s">
        <v>299</v>
      </c>
    </row>
    <row r="65">
      <c r="A65" t="s">
        <v>281</v>
      </c>
      <c r="B65" t="s">
        <v>366</v>
      </c>
      <c r="C65" t="s">
        <v>308</v>
      </c>
      <c r="D65" t="s">
        <v>299</v>
      </c>
    </row>
    <row r="66">
      <c r="A66" t="s">
        <v>281</v>
      </c>
      <c r="B66" t="s">
        <v>367</v>
      </c>
      <c r="C66" t="s">
        <v>308</v>
      </c>
      <c r="D66" t="s">
        <v>299</v>
      </c>
    </row>
    <row r="67">
      <c r="A67" t="s">
        <v>281</v>
      </c>
      <c r="B67" t="s">
        <v>368</v>
      </c>
      <c r="C67" t="s">
        <v>308</v>
      </c>
      <c r="D67" t="s">
        <v>299</v>
      </c>
    </row>
    <row r="68">
      <c r="A68" t="s">
        <v>281</v>
      </c>
      <c r="B68" t="s">
        <v>369</v>
      </c>
      <c r="C68" t="s">
        <v>308</v>
      </c>
      <c r="D68" t="s">
        <v>299</v>
      </c>
    </row>
    <row r="69">
      <c r="A69" t="s">
        <v>281</v>
      </c>
      <c r="B69" t="s">
        <v>370</v>
      </c>
      <c r="C69" t="s">
        <v>308</v>
      </c>
      <c r="D69" t="s">
        <v>299</v>
      </c>
    </row>
    <row r="70">
      <c r="A70" t="s">
        <v>281</v>
      </c>
      <c r="B70" t="s">
        <v>371</v>
      </c>
      <c r="C70" t="s">
        <v>308</v>
      </c>
      <c r="D70" t="s">
        <v>299</v>
      </c>
    </row>
    <row r="71">
      <c r="A71" t="s">
        <v>281</v>
      </c>
      <c r="B71" t="s">
        <v>372</v>
      </c>
      <c r="C71" t="s">
        <v>308</v>
      </c>
      <c r="D71" t="s">
        <v>299</v>
      </c>
    </row>
    <row r="72">
      <c r="A72" t="s">
        <v>281</v>
      </c>
      <c r="B72" t="s">
        <v>373</v>
      </c>
      <c r="C72" t="s">
        <v>308</v>
      </c>
      <c r="D72" t="s">
        <v>299</v>
      </c>
    </row>
    <row r="73">
      <c r="A73" t="s">
        <v>281</v>
      </c>
      <c r="B73" t="s">
        <v>374</v>
      </c>
      <c r="C73" t="s">
        <v>308</v>
      </c>
      <c r="D73" t="s">
        <v>299</v>
      </c>
    </row>
    <row r="74">
      <c r="A74" t="s">
        <v>281</v>
      </c>
      <c r="B74" t="s">
        <v>375</v>
      </c>
      <c r="C74" t="s">
        <v>308</v>
      </c>
      <c r="D74" t="s">
        <v>299</v>
      </c>
    </row>
    <row r="75">
      <c r="A75" t="s">
        <v>281</v>
      </c>
      <c r="B75" t="s">
        <v>376</v>
      </c>
      <c r="C75" t="s">
        <v>308</v>
      </c>
      <c r="D75" t="s">
        <v>299</v>
      </c>
    </row>
    <row r="76">
      <c r="A76" t="s">
        <v>281</v>
      </c>
      <c r="B76" t="s">
        <v>377</v>
      </c>
      <c r="C76" t="s">
        <v>308</v>
      </c>
      <c r="D76" t="s">
        <v>299</v>
      </c>
    </row>
    <row r="77">
      <c r="A77" t="s">
        <v>281</v>
      </c>
      <c r="B77" t="s">
        <v>378</v>
      </c>
      <c r="C77" t="s">
        <v>308</v>
      </c>
      <c r="D77" t="s">
        <v>299</v>
      </c>
    </row>
    <row r="78">
      <c r="A78" t="s">
        <v>281</v>
      </c>
      <c r="B78" t="s">
        <v>379</v>
      </c>
      <c r="C78" t="s">
        <v>308</v>
      </c>
      <c r="D78" t="s">
        <v>299</v>
      </c>
    </row>
    <row r="79">
      <c r="A79" t="s">
        <v>281</v>
      </c>
      <c r="B79" t="s">
        <v>380</v>
      </c>
      <c r="C79" t="s">
        <v>308</v>
      </c>
      <c r="D79" t="s">
        <v>299</v>
      </c>
    </row>
    <row r="80">
      <c r="A80" t="s">
        <v>281</v>
      </c>
      <c r="B80" t="s">
        <v>381</v>
      </c>
      <c r="C80" t="s">
        <v>308</v>
      </c>
      <c r="D80" t="s">
        <v>382</v>
      </c>
    </row>
    <row r="81">
      <c r="A81" t="s">
        <v>281</v>
      </c>
      <c r="B81" t="s">
        <v>383</v>
      </c>
      <c r="C81" t="s">
        <v>308</v>
      </c>
      <c r="D81" t="s">
        <v>382</v>
      </c>
    </row>
    <row r="82">
      <c r="A82" t="s">
        <v>281</v>
      </c>
      <c r="B82" t="s">
        <v>384</v>
      </c>
      <c r="C82" t="s">
        <v>385</v>
      </c>
      <c r="D82" t="s">
        <v>299</v>
      </c>
    </row>
    <row r="83">
      <c r="A83" t="s">
        <v>281</v>
      </c>
      <c r="B83" t="s">
        <v>386</v>
      </c>
      <c r="C83" t="s">
        <v>385</v>
      </c>
      <c r="D83" t="s">
        <v>299</v>
      </c>
    </row>
    <row r="84">
      <c r="A84" t="s">
        <v>281</v>
      </c>
      <c r="B84" t="s">
        <v>387</v>
      </c>
      <c r="C84" t="s">
        <v>385</v>
      </c>
      <c r="D84" t="s">
        <v>299</v>
      </c>
    </row>
    <row r="85">
      <c r="A85" t="s">
        <v>281</v>
      </c>
      <c r="B85" t="s">
        <v>388</v>
      </c>
      <c r="C85" t="s">
        <v>385</v>
      </c>
      <c r="D85" t="s">
        <v>299</v>
      </c>
    </row>
    <row r="86">
      <c r="A86" t="s">
        <v>281</v>
      </c>
      <c r="B86" t="s">
        <v>389</v>
      </c>
      <c r="C86" t="s">
        <v>385</v>
      </c>
      <c r="D86" t="s">
        <v>299</v>
      </c>
    </row>
    <row r="87">
      <c r="A87" t="s">
        <v>281</v>
      </c>
      <c r="B87" t="s">
        <v>390</v>
      </c>
      <c r="C87" t="s">
        <v>385</v>
      </c>
      <c r="D87" t="s">
        <v>299</v>
      </c>
    </row>
    <row r="88">
      <c r="A88" t="s">
        <v>281</v>
      </c>
      <c r="B88" t="s">
        <v>391</v>
      </c>
      <c r="C88" t="s">
        <v>385</v>
      </c>
      <c r="D88" t="s">
        <v>299</v>
      </c>
    </row>
    <row r="89">
      <c r="A89" t="s">
        <v>281</v>
      </c>
      <c r="B89" t="s">
        <v>392</v>
      </c>
      <c r="C89" t="s">
        <v>385</v>
      </c>
      <c r="D89" t="s">
        <v>299</v>
      </c>
    </row>
    <row r="90">
      <c r="A90" t="s">
        <v>281</v>
      </c>
      <c r="B90" t="s">
        <v>393</v>
      </c>
      <c r="C90" t="s">
        <v>385</v>
      </c>
      <c r="D90" t="s">
        <v>299</v>
      </c>
    </row>
    <row r="91">
      <c r="A91" t="s">
        <v>281</v>
      </c>
      <c r="B91" t="s">
        <v>394</v>
      </c>
      <c r="C91" t="s">
        <v>385</v>
      </c>
      <c r="D91" t="s">
        <v>299</v>
      </c>
    </row>
    <row r="92">
      <c r="A92" t="s">
        <v>281</v>
      </c>
      <c r="B92" t="s">
        <v>395</v>
      </c>
      <c r="C92" t="s">
        <v>385</v>
      </c>
      <c r="D92" t="s">
        <v>299</v>
      </c>
    </row>
    <row r="93">
      <c r="A93" t="s">
        <v>281</v>
      </c>
      <c r="B93" t="s">
        <v>396</v>
      </c>
      <c r="C93" t="s">
        <v>385</v>
      </c>
      <c r="D93" t="s">
        <v>299</v>
      </c>
    </row>
    <row r="94">
      <c r="A94" t="s">
        <v>281</v>
      </c>
      <c r="B94" t="s">
        <v>397</v>
      </c>
      <c r="C94" t="s">
        <v>398</v>
      </c>
      <c r="D94" t="s">
        <v>299</v>
      </c>
    </row>
    <row r="95">
      <c r="A95" t="s">
        <v>281</v>
      </c>
      <c r="B95" t="s">
        <v>297</v>
      </c>
      <c r="C95" t="s">
        <v>399</v>
      </c>
      <c r="D95" t="s">
        <v>299</v>
      </c>
    </row>
    <row r="96">
      <c r="A96" t="s">
        <v>281</v>
      </c>
      <c r="B96" t="s">
        <v>400</v>
      </c>
      <c r="C96" t="s">
        <v>401</v>
      </c>
      <c r="D96" t="s">
        <v>299</v>
      </c>
    </row>
    <row r="97">
      <c r="A97" t="s">
        <v>281</v>
      </c>
      <c r="B97" t="s">
        <v>402</v>
      </c>
      <c r="C97" t="s">
        <v>401</v>
      </c>
      <c r="D97" t="s">
        <v>299</v>
      </c>
    </row>
    <row r="98">
      <c r="A98" t="s">
        <v>281</v>
      </c>
      <c r="B98" t="s">
        <v>403</v>
      </c>
      <c r="C98" t="s">
        <v>401</v>
      </c>
      <c r="D98" t="s">
        <v>299</v>
      </c>
    </row>
    <row r="99">
      <c r="A99" t="s">
        <v>281</v>
      </c>
      <c r="B99" t="s">
        <v>404</v>
      </c>
      <c r="C99" t="s">
        <v>401</v>
      </c>
      <c r="D99" t="s">
        <v>299</v>
      </c>
    </row>
    <row r="100">
      <c r="A100" t="s">
        <v>281</v>
      </c>
      <c r="B100" t="s">
        <v>405</v>
      </c>
      <c r="C100" t="s">
        <v>401</v>
      </c>
      <c r="D100" t="s">
        <v>299</v>
      </c>
    </row>
    <row r="101">
      <c r="A101" t="s">
        <v>281</v>
      </c>
      <c r="B101" t="s">
        <v>406</v>
      </c>
      <c r="C101" t="s">
        <v>401</v>
      </c>
      <c r="D101" t="s">
        <v>299</v>
      </c>
    </row>
    <row r="102">
      <c r="A102" t="s">
        <v>281</v>
      </c>
      <c r="B102" t="s">
        <v>407</v>
      </c>
      <c r="C102" t="s">
        <v>401</v>
      </c>
      <c r="D102" t="s">
        <v>299</v>
      </c>
    </row>
    <row r="103">
      <c r="A103" t="s">
        <v>281</v>
      </c>
      <c r="B103" t="s">
        <v>408</v>
      </c>
      <c r="C103" t="s">
        <v>401</v>
      </c>
      <c r="D103" t="s">
        <v>299</v>
      </c>
    </row>
    <row r="104">
      <c r="A104" t="s">
        <v>281</v>
      </c>
      <c r="B104" t="s">
        <v>409</v>
      </c>
      <c r="C104" t="s">
        <v>401</v>
      </c>
      <c r="D104" t="s">
        <v>299</v>
      </c>
    </row>
    <row r="105">
      <c r="A105" t="s">
        <v>281</v>
      </c>
      <c r="B105" t="s">
        <v>410</v>
      </c>
      <c r="C105" t="s">
        <v>401</v>
      </c>
      <c r="D105" t="s">
        <v>299</v>
      </c>
    </row>
    <row r="106">
      <c r="A106" t="s">
        <v>281</v>
      </c>
      <c r="B106" t="s">
        <v>411</v>
      </c>
      <c r="C106" t="s">
        <v>401</v>
      </c>
      <c r="D106" t="s">
        <v>299</v>
      </c>
    </row>
    <row r="107">
      <c r="A107" t="s">
        <v>281</v>
      </c>
      <c r="B107" t="s">
        <v>412</v>
      </c>
      <c r="C107" t="s">
        <v>401</v>
      </c>
      <c r="D107" t="s">
        <v>299</v>
      </c>
    </row>
    <row r="108">
      <c r="A108" t="s">
        <v>287</v>
      </c>
      <c r="B108" t="s">
        <v>413</v>
      </c>
      <c r="C108" t="s">
        <v>398</v>
      </c>
      <c r="D108" t="s">
        <v>382</v>
      </c>
    </row>
    <row r="109">
      <c r="A109" t="s">
        <v>290</v>
      </c>
      <c r="B109" t="s">
        <v>414</v>
      </c>
      <c r="C109" t="s">
        <v>415</v>
      </c>
      <c r="D109" t="s">
        <v>382</v>
      </c>
    </row>
    <row r="110">
      <c r="A110" t="s">
        <v>292</v>
      </c>
      <c r="B110" t="s">
        <v>416</v>
      </c>
      <c r="C110" t="s">
        <v>417</v>
      </c>
      <c r="D110" t="s">
        <v>382</v>
      </c>
    </row>
    <row r="111">
      <c r="A111" t="s">
        <v>294</v>
      </c>
      <c r="B111" t="s">
        <v>418</v>
      </c>
      <c r="C111" t="s">
        <v>415</v>
      </c>
      <c r="D111" t="s">
        <v>382</v>
      </c>
    </row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customWidth="true" width="104.0" collapsed="true"/>
  </cols>
  <sheetData>
    <row r="1" spans="1:18" ht="16.5" thickTop="1" thickBot="1" x14ac:dyDescent="0.3">
      <c r="A1" s="59" t="s">
        <v>255</v>
      </c>
      <c r="B1" s="59" t="s">
        <v>256</v>
      </c>
      <c r="C1" s="59" t="s">
        <v>257</v>
      </c>
      <c r="D1" s="59" t="s">
        <v>258</v>
      </c>
      <c r="E1" s="59" t="s">
        <v>259</v>
      </c>
      <c r="F1" s="59" t="s">
        <v>260</v>
      </c>
      <c r="G1" s="59" t="s">
        <v>261</v>
      </c>
      <c r="H1" s="59" t="s">
        <v>262</v>
      </c>
      <c r="I1" s="63" t="s">
        <v>263</v>
      </c>
      <c r="J1" s="59" t="s">
        <v>264</v>
      </c>
      <c r="K1" s="59" t="s">
        <v>265</v>
      </c>
      <c r="L1" s="63" t="s">
        <v>266</v>
      </c>
      <c r="M1" s="59" t="s">
        <v>267</v>
      </c>
      <c r="N1" s="59" t="s">
        <v>248</v>
      </c>
      <c r="O1" s="59" t="s">
        <v>268</v>
      </c>
      <c r="P1" s="59" t="s">
        <v>269</v>
      </c>
      <c r="Q1" s="64" t="s">
        <v>270</v>
      </c>
      <c r="R1" s="65" t="s">
        <v>158</v>
      </c>
    </row>
    <row r="2">
      <c r="A2" t="s">
        <v>419</v>
      </c>
      <c r="B2" t="s">
        <v>420</v>
      </c>
      <c r="C2" t="s">
        <v>421</v>
      </c>
      <c r="D2" t="s">
        <v>422</v>
      </c>
      <c r="E2" t="s">
        <v>420</v>
      </c>
      <c r="F2" t="s">
        <v>423</v>
      </c>
      <c r="G2" t="s">
        <v>424</v>
      </c>
      <c r="H2" t="s">
        <v>425</v>
      </c>
      <c r="I2" t="s">
        <v>426</v>
      </c>
      <c r="J2" t="s">
        <v>427</v>
      </c>
      <c r="K2" t="s">
        <v>426</v>
      </c>
      <c r="L2" t="s">
        <v>426</v>
      </c>
      <c r="M2" t="s">
        <v>426</v>
      </c>
      <c r="N2" t="s">
        <v>428</v>
      </c>
      <c r="O2"/>
      <c r="P2" t="s">
        <v>429</v>
      </c>
    </row>
    <row r="3">
      <c r="A3" t="s">
        <v>419</v>
      </c>
      <c r="B3" t="s">
        <v>430</v>
      </c>
      <c r="C3" t="s">
        <v>421</v>
      </c>
      <c r="D3" t="s">
        <v>422</v>
      </c>
      <c r="E3" t="s">
        <v>430</v>
      </c>
      <c r="F3" t="s">
        <v>423</v>
      </c>
      <c r="G3" t="s">
        <v>424</v>
      </c>
      <c r="H3" t="s">
        <v>431</v>
      </c>
      <c r="I3" t="s">
        <v>426</v>
      </c>
      <c r="J3" t="s">
        <v>178</v>
      </c>
      <c r="K3" t="s">
        <v>426</v>
      </c>
      <c r="L3" t="s">
        <v>426</v>
      </c>
      <c r="M3" t="s">
        <v>426</v>
      </c>
      <c r="N3" t="s">
        <v>428</v>
      </c>
      <c r="O3"/>
      <c r="P3" t="s">
        <v>432</v>
      </c>
    </row>
    <row r="4">
      <c r="A4" t="s">
        <v>419</v>
      </c>
      <c r="B4" t="s">
        <v>433</v>
      </c>
      <c r="C4" t="s">
        <v>421</v>
      </c>
      <c r="D4" t="s">
        <v>422</v>
      </c>
      <c r="E4" t="s">
        <v>433</v>
      </c>
      <c r="F4" t="s">
        <v>423</v>
      </c>
      <c r="G4" t="s">
        <v>424</v>
      </c>
      <c r="H4" t="s">
        <v>425</v>
      </c>
      <c r="I4" t="s">
        <v>434</v>
      </c>
      <c r="J4" t="s">
        <v>427</v>
      </c>
      <c r="K4" t="s">
        <v>426</v>
      </c>
      <c r="L4" t="s">
        <v>426</v>
      </c>
      <c r="M4" t="s">
        <v>426</v>
      </c>
      <c r="N4" t="s">
        <v>428</v>
      </c>
      <c r="O4"/>
      <c r="P4" t="s">
        <v>435</v>
      </c>
    </row>
    <row r="5">
      <c r="A5" t="s">
        <v>419</v>
      </c>
      <c r="B5" t="s">
        <v>436</v>
      </c>
      <c r="C5" t="s">
        <v>421</v>
      </c>
      <c r="D5" t="s">
        <v>422</v>
      </c>
      <c r="E5" t="s">
        <v>436</v>
      </c>
      <c r="F5" t="s">
        <v>423</v>
      </c>
      <c r="G5" t="s">
        <v>424</v>
      </c>
      <c r="H5" t="s">
        <v>437</v>
      </c>
      <c r="I5" t="s">
        <v>426</v>
      </c>
      <c r="J5" t="s">
        <v>438</v>
      </c>
      <c r="K5" t="s">
        <v>434</v>
      </c>
      <c r="L5" t="s">
        <v>426</v>
      </c>
      <c r="M5" t="s">
        <v>426</v>
      </c>
      <c r="N5" t="s">
        <v>428</v>
      </c>
      <c r="O5"/>
      <c r="P5" t="s">
        <v>439</v>
      </c>
    </row>
    <row r="6">
      <c r="A6" t="s">
        <v>419</v>
      </c>
      <c r="B6" t="s">
        <v>440</v>
      </c>
      <c r="C6" t="s">
        <v>421</v>
      </c>
      <c r="D6" t="s">
        <v>422</v>
      </c>
      <c r="E6" t="s">
        <v>440</v>
      </c>
      <c r="F6" t="s">
        <v>423</v>
      </c>
      <c r="G6" t="s">
        <v>424</v>
      </c>
      <c r="H6" t="s">
        <v>437</v>
      </c>
      <c r="I6" t="s">
        <v>426</v>
      </c>
      <c r="J6" t="s">
        <v>438</v>
      </c>
      <c r="K6" t="s">
        <v>426</v>
      </c>
      <c r="L6" t="s">
        <v>426</v>
      </c>
      <c r="M6" t="s">
        <v>434</v>
      </c>
      <c r="N6" t="s">
        <v>428</v>
      </c>
      <c r="O6"/>
      <c r="P6" t="s">
        <v>441</v>
      </c>
    </row>
    <row r="7">
      <c r="A7" t="s">
        <v>419</v>
      </c>
      <c r="B7" t="s">
        <v>442</v>
      </c>
      <c r="C7" t="s">
        <v>421</v>
      </c>
      <c r="D7" t="s">
        <v>422</v>
      </c>
      <c r="E7" t="s">
        <v>442</v>
      </c>
      <c r="F7" t="s">
        <v>423</v>
      </c>
      <c r="G7" t="s">
        <v>424</v>
      </c>
      <c r="H7" t="s">
        <v>443</v>
      </c>
      <c r="I7" t="s">
        <v>426</v>
      </c>
      <c r="J7" t="s">
        <v>444</v>
      </c>
      <c r="K7" t="s">
        <v>426</v>
      </c>
      <c r="L7" t="s">
        <v>426</v>
      </c>
      <c r="M7" t="s">
        <v>426</v>
      </c>
      <c r="N7" t="s">
        <v>428</v>
      </c>
      <c r="O7"/>
      <c r="P7" t="s">
        <v>445</v>
      </c>
    </row>
    <row r="8">
      <c r="A8" t="s">
        <v>419</v>
      </c>
      <c r="B8" t="s">
        <v>446</v>
      </c>
      <c r="C8" t="s">
        <v>421</v>
      </c>
      <c r="D8" t="s">
        <v>422</v>
      </c>
      <c r="E8" t="s">
        <v>446</v>
      </c>
      <c r="F8" t="s">
        <v>423</v>
      </c>
      <c r="G8" t="s">
        <v>424</v>
      </c>
      <c r="H8" t="s">
        <v>443</v>
      </c>
      <c r="I8" t="s">
        <v>426</v>
      </c>
      <c r="J8" t="s">
        <v>444</v>
      </c>
      <c r="K8" t="s">
        <v>426</v>
      </c>
      <c r="L8" t="s">
        <v>426</v>
      </c>
      <c r="M8" t="s">
        <v>426</v>
      </c>
      <c r="N8" t="s">
        <v>428</v>
      </c>
      <c r="O8"/>
      <c r="P8" t="s">
        <v>447</v>
      </c>
    </row>
    <row r="9">
      <c r="A9" t="s">
        <v>419</v>
      </c>
      <c r="B9" t="s">
        <v>448</v>
      </c>
      <c r="C9" t="s">
        <v>421</v>
      </c>
      <c r="D9" t="s">
        <v>422</v>
      </c>
      <c r="E9" t="s">
        <v>448</v>
      </c>
      <c r="F9" t="s">
        <v>423</v>
      </c>
      <c r="G9" t="s">
        <v>424</v>
      </c>
      <c r="H9" t="s">
        <v>449</v>
      </c>
      <c r="I9" t="s">
        <v>426</v>
      </c>
      <c r="J9" t="s">
        <v>444</v>
      </c>
      <c r="K9" t="s">
        <v>426</v>
      </c>
      <c r="L9" t="s">
        <v>426</v>
      </c>
      <c r="M9" t="s">
        <v>426</v>
      </c>
      <c r="N9" t="s">
        <v>428</v>
      </c>
      <c r="O9"/>
      <c r="P9" t="s">
        <v>450</v>
      </c>
    </row>
    <row r="10">
      <c r="A10" t="s">
        <v>419</v>
      </c>
      <c r="B10" t="s">
        <v>451</v>
      </c>
      <c r="C10" t="s">
        <v>452</v>
      </c>
      <c r="D10" t="s">
        <v>281</v>
      </c>
      <c r="E10" t="s">
        <v>420</v>
      </c>
      <c r="F10" t="s">
        <v>423</v>
      </c>
      <c r="G10" t="s">
        <v>424</v>
      </c>
      <c r="H10" t="s">
        <v>431</v>
      </c>
      <c r="I10" t="s">
        <v>426</v>
      </c>
      <c r="J10" t="s">
        <v>438</v>
      </c>
      <c r="K10" t="s">
        <v>426</v>
      </c>
      <c r="L10" t="s">
        <v>426</v>
      </c>
      <c r="M10" t="s">
        <v>426</v>
      </c>
      <c r="N10" t="s">
        <v>283</v>
      </c>
      <c r="O10"/>
      <c r="P10" t="s">
        <v>453</v>
      </c>
    </row>
    <row r="11">
      <c r="A11" t="s">
        <v>419</v>
      </c>
      <c r="B11" t="s">
        <v>454</v>
      </c>
      <c r="C11" t="s">
        <v>452</v>
      </c>
      <c r="D11" t="s">
        <v>281</v>
      </c>
      <c r="E11" t="s">
        <v>430</v>
      </c>
      <c r="F11" t="s">
        <v>423</v>
      </c>
      <c r="G11" t="s">
        <v>424</v>
      </c>
      <c r="H11" t="s">
        <v>431</v>
      </c>
      <c r="I11" t="s">
        <v>426</v>
      </c>
      <c r="J11" t="s">
        <v>455</v>
      </c>
      <c r="K11" t="s">
        <v>426</v>
      </c>
      <c r="L11" t="s">
        <v>426</v>
      </c>
      <c r="M11" t="s">
        <v>426</v>
      </c>
      <c r="N11" t="s">
        <v>283</v>
      </c>
      <c r="O11"/>
      <c r="P11" t="s">
        <v>456</v>
      </c>
    </row>
    <row r="12">
      <c r="A12" t="s">
        <v>419</v>
      </c>
      <c r="B12" t="s">
        <v>457</v>
      </c>
      <c r="C12" t="s">
        <v>452</v>
      </c>
      <c r="D12" t="s">
        <v>281</v>
      </c>
      <c r="E12" t="s">
        <v>433</v>
      </c>
      <c r="F12" t="s">
        <v>423</v>
      </c>
      <c r="G12" t="s">
        <v>424</v>
      </c>
      <c r="H12" t="s">
        <v>437</v>
      </c>
      <c r="I12" t="s">
        <v>426</v>
      </c>
      <c r="J12" t="s">
        <v>146</v>
      </c>
      <c r="K12" t="s">
        <v>426</v>
      </c>
      <c r="L12" t="s">
        <v>434</v>
      </c>
      <c r="M12" t="s">
        <v>426</v>
      </c>
      <c r="N12" t="s">
        <v>283</v>
      </c>
      <c r="O12"/>
      <c r="P12" t="s">
        <v>458</v>
      </c>
    </row>
    <row r="13">
      <c r="A13" t="s">
        <v>419</v>
      </c>
      <c r="B13" t="s">
        <v>459</v>
      </c>
      <c r="C13" t="s">
        <v>452</v>
      </c>
      <c r="D13" t="s">
        <v>281</v>
      </c>
      <c r="E13" t="s">
        <v>436</v>
      </c>
      <c r="F13" t="s">
        <v>423</v>
      </c>
      <c r="G13" t="s">
        <v>424</v>
      </c>
      <c r="H13" t="s">
        <v>431</v>
      </c>
      <c r="I13" t="s">
        <v>426</v>
      </c>
      <c r="J13" t="s">
        <v>438</v>
      </c>
      <c r="K13" t="s">
        <v>426</v>
      </c>
      <c r="L13" t="s">
        <v>426</v>
      </c>
      <c r="M13" t="s">
        <v>426</v>
      </c>
      <c r="N13" t="s">
        <v>283</v>
      </c>
      <c r="O13"/>
      <c r="P13" t="s">
        <v>460</v>
      </c>
    </row>
    <row r="14">
      <c r="A14" t="s">
        <v>419</v>
      </c>
      <c r="B14" t="s">
        <v>461</v>
      </c>
      <c r="C14" t="s">
        <v>452</v>
      </c>
      <c r="D14" t="s">
        <v>422</v>
      </c>
      <c r="E14" t="s">
        <v>451</v>
      </c>
      <c r="F14" t="s">
        <v>423</v>
      </c>
      <c r="G14" t="s">
        <v>424</v>
      </c>
      <c r="H14" t="s">
        <v>449</v>
      </c>
      <c r="I14" t="s">
        <v>426</v>
      </c>
      <c r="J14" t="s">
        <v>444</v>
      </c>
      <c r="K14" t="s">
        <v>426</v>
      </c>
      <c r="L14" t="s">
        <v>426</v>
      </c>
      <c r="M14" t="s">
        <v>426</v>
      </c>
      <c r="N14" t="s">
        <v>428</v>
      </c>
      <c r="O14"/>
      <c r="P14" t="s">
        <v>462</v>
      </c>
    </row>
    <row r="15">
      <c r="A15" t="s">
        <v>419</v>
      </c>
      <c r="B15" t="s">
        <v>463</v>
      </c>
      <c r="C15" t="s">
        <v>452</v>
      </c>
      <c r="D15" t="s">
        <v>422</v>
      </c>
      <c r="E15" t="s">
        <v>454</v>
      </c>
      <c r="F15" t="s">
        <v>423</v>
      </c>
      <c r="G15" t="s">
        <v>424</v>
      </c>
      <c r="H15" t="s">
        <v>449</v>
      </c>
      <c r="I15" t="s">
        <v>434</v>
      </c>
      <c r="J15" t="s">
        <v>444</v>
      </c>
      <c r="K15" t="s">
        <v>426</v>
      </c>
      <c r="L15" t="s">
        <v>426</v>
      </c>
      <c r="M15" t="s">
        <v>426</v>
      </c>
      <c r="N15" t="s">
        <v>428</v>
      </c>
      <c r="O15"/>
      <c r="P15" t="s">
        <v>464</v>
      </c>
    </row>
    <row r="16">
      <c r="A16" t="s">
        <v>419</v>
      </c>
      <c r="B16" t="s">
        <v>465</v>
      </c>
      <c r="C16" t="s">
        <v>466</v>
      </c>
      <c r="D16" t="s">
        <v>281</v>
      </c>
      <c r="E16" t="s">
        <v>420</v>
      </c>
      <c r="F16" t="s">
        <v>423</v>
      </c>
      <c r="G16" t="s">
        <v>424</v>
      </c>
      <c r="H16" t="s">
        <v>431</v>
      </c>
      <c r="I16" t="s">
        <v>426</v>
      </c>
      <c r="J16" t="s">
        <v>427</v>
      </c>
      <c r="K16" t="s">
        <v>426</v>
      </c>
      <c r="L16" t="s">
        <v>426</v>
      </c>
      <c r="M16" t="s">
        <v>426</v>
      </c>
      <c r="N16" t="s">
        <v>283</v>
      </c>
      <c r="O16"/>
      <c r="P16" t="s">
        <v>467</v>
      </c>
    </row>
    <row r="17">
      <c r="A17" t="s">
        <v>419</v>
      </c>
      <c r="B17" t="s">
        <v>468</v>
      </c>
      <c r="C17" t="s">
        <v>466</v>
      </c>
      <c r="D17" t="s">
        <v>281</v>
      </c>
      <c r="E17" t="s">
        <v>420</v>
      </c>
      <c r="F17" t="s">
        <v>423</v>
      </c>
      <c r="G17" t="s">
        <v>424</v>
      </c>
      <c r="H17" t="s">
        <v>431</v>
      </c>
      <c r="I17" t="s">
        <v>426</v>
      </c>
      <c r="J17" t="s">
        <v>438</v>
      </c>
      <c r="K17" t="s">
        <v>426</v>
      </c>
      <c r="L17" t="s">
        <v>426</v>
      </c>
      <c r="M17" t="s">
        <v>426</v>
      </c>
      <c r="N17" t="s">
        <v>283</v>
      </c>
      <c r="O17"/>
      <c r="P17" t="s">
        <v>469</v>
      </c>
    </row>
    <row r="18">
      <c r="A18" t="s">
        <v>419</v>
      </c>
      <c r="B18" t="s">
        <v>470</v>
      </c>
      <c r="C18" t="s">
        <v>466</v>
      </c>
      <c r="D18" t="s">
        <v>292</v>
      </c>
      <c r="E18" t="s">
        <v>420</v>
      </c>
      <c r="F18" t="s">
        <v>423</v>
      </c>
      <c r="G18" t="s">
        <v>424</v>
      </c>
      <c r="H18" t="s">
        <v>431</v>
      </c>
      <c r="I18" t="s">
        <v>426</v>
      </c>
      <c r="J18" t="s">
        <v>438</v>
      </c>
      <c r="K18" t="s">
        <v>426</v>
      </c>
      <c r="L18" t="s">
        <v>426</v>
      </c>
      <c r="M18" t="s">
        <v>426</v>
      </c>
      <c r="N18" t="s">
        <v>293</v>
      </c>
      <c r="O18"/>
      <c r="P18" t="s">
        <v>471</v>
      </c>
    </row>
    <row r="19">
      <c r="A19" t="s">
        <v>419</v>
      </c>
      <c r="B19" t="s">
        <v>472</v>
      </c>
      <c r="C19" t="s">
        <v>466</v>
      </c>
      <c r="D19" t="s">
        <v>281</v>
      </c>
      <c r="E19" t="s">
        <v>473</v>
      </c>
      <c r="F19" t="s">
        <v>423</v>
      </c>
      <c r="G19" t="s">
        <v>424</v>
      </c>
      <c r="H19" t="s">
        <v>474</v>
      </c>
      <c r="I19" t="s">
        <v>426</v>
      </c>
      <c r="J19" t="s">
        <v>438</v>
      </c>
      <c r="K19" t="s">
        <v>426</v>
      </c>
      <c r="L19" t="s">
        <v>426</v>
      </c>
      <c r="M19" t="s">
        <v>426</v>
      </c>
      <c r="N19" t="s">
        <v>283</v>
      </c>
      <c r="O19"/>
      <c r="P19" t="s">
        <v>475</v>
      </c>
    </row>
    <row r="20">
      <c r="A20" t="s">
        <v>419</v>
      </c>
      <c r="B20" t="s">
        <v>476</v>
      </c>
      <c r="C20" t="s">
        <v>466</v>
      </c>
      <c r="D20" t="s">
        <v>422</v>
      </c>
      <c r="E20" t="s">
        <v>477</v>
      </c>
      <c r="F20" t="s">
        <v>423</v>
      </c>
      <c r="G20" t="s">
        <v>424</v>
      </c>
      <c r="H20" t="s">
        <v>431</v>
      </c>
      <c r="I20" t="s">
        <v>426</v>
      </c>
      <c r="J20" t="s">
        <v>455</v>
      </c>
      <c r="K20" t="s">
        <v>426</v>
      </c>
      <c r="L20" t="s">
        <v>426</v>
      </c>
      <c r="M20" t="s">
        <v>426</v>
      </c>
      <c r="N20" t="s">
        <v>428</v>
      </c>
      <c r="O20"/>
      <c r="P20" t="s">
        <v>478</v>
      </c>
    </row>
    <row r="21">
      <c r="A21" t="s">
        <v>419</v>
      </c>
      <c r="B21" t="s">
        <v>479</v>
      </c>
      <c r="C21" t="s">
        <v>466</v>
      </c>
      <c r="D21" t="s">
        <v>422</v>
      </c>
      <c r="E21" t="s">
        <v>480</v>
      </c>
      <c r="F21" t="s">
        <v>423</v>
      </c>
      <c r="G21" t="s">
        <v>424</v>
      </c>
      <c r="H21" t="s">
        <v>431</v>
      </c>
      <c r="I21" t="s">
        <v>426</v>
      </c>
      <c r="J21" t="s">
        <v>427</v>
      </c>
      <c r="K21" t="s">
        <v>426</v>
      </c>
      <c r="L21" t="s">
        <v>426</v>
      </c>
      <c r="M21" t="s">
        <v>426</v>
      </c>
      <c r="N21" t="s">
        <v>428</v>
      </c>
      <c r="O21"/>
      <c r="P21" t="s">
        <v>481</v>
      </c>
    </row>
    <row r="22">
      <c r="A22" t="s">
        <v>419</v>
      </c>
      <c r="B22" t="s">
        <v>482</v>
      </c>
      <c r="C22" t="s">
        <v>466</v>
      </c>
      <c r="D22" t="s">
        <v>422</v>
      </c>
      <c r="E22" t="s">
        <v>483</v>
      </c>
      <c r="F22" t="s">
        <v>423</v>
      </c>
      <c r="G22" t="s">
        <v>424</v>
      </c>
      <c r="H22" t="s">
        <v>437</v>
      </c>
      <c r="I22" t="s">
        <v>426</v>
      </c>
      <c r="J22" t="s">
        <v>438</v>
      </c>
      <c r="K22" t="s">
        <v>426</v>
      </c>
      <c r="L22" t="s">
        <v>426</v>
      </c>
      <c r="M22" t="s">
        <v>434</v>
      </c>
      <c r="N22" t="s">
        <v>428</v>
      </c>
      <c r="O22"/>
      <c r="P22" t="s">
        <v>484</v>
      </c>
    </row>
    <row r="23">
      <c r="A23" t="s">
        <v>419</v>
      </c>
      <c r="B23" t="s">
        <v>485</v>
      </c>
      <c r="C23" t="s">
        <v>466</v>
      </c>
      <c r="D23" t="s">
        <v>422</v>
      </c>
      <c r="E23" t="s">
        <v>486</v>
      </c>
      <c r="F23" t="s">
        <v>423</v>
      </c>
      <c r="G23" t="s">
        <v>424</v>
      </c>
      <c r="H23" t="s">
        <v>425</v>
      </c>
      <c r="I23" t="s">
        <v>434</v>
      </c>
      <c r="J23" t="s">
        <v>427</v>
      </c>
      <c r="K23" t="s">
        <v>426</v>
      </c>
      <c r="L23" t="s">
        <v>426</v>
      </c>
      <c r="M23" t="s">
        <v>426</v>
      </c>
      <c r="N23" t="s">
        <v>428</v>
      </c>
      <c r="O23"/>
      <c r="P23" t="s">
        <v>487</v>
      </c>
    </row>
    <row r="24">
      <c r="A24" t="s">
        <v>419</v>
      </c>
      <c r="B24" t="s">
        <v>488</v>
      </c>
      <c r="C24" t="s">
        <v>489</v>
      </c>
      <c r="D24" t="s">
        <v>422</v>
      </c>
      <c r="E24" t="s">
        <v>490</v>
      </c>
      <c r="F24" t="s">
        <v>423</v>
      </c>
      <c r="G24" t="s">
        <v>424</v>
      </c>
      <c r="H24" t="s">
        <v>437</v>
      </c>
      <c r="I24" t="s">
        <v>426</v>
      </c>
      <c r="J24" t="s">
        <v>444</v>
      </c>
      <c r="K24" t="s">
        <v>426</v>
      </c>
      <c r="L24" t="s">
        <v>426</v>
      </c>
      <c r="M24" t="s">
        <v>426</v>
      </c>
      <c r="N24" t="s">
        <v>428</v>
      </c>
      <c r="O24"/>
      <c r="P24" t="s">
        <v>491</v>
      </c>
    </row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zoomScale="90" zoomScaleNormal="90" workbookViewId="0">
      <selection activeCell="L23" sqref="L23"/>
    </sheetView>
  </sheetViews>
  <sheetFormatPr defaultRowHeight="15" x14ac:dyDescent="0.25"/>
  <cols>
    <col min="2" max="2" customWidth="true" width="37.85546875" collapsed="true"/>
    <col min="3" max="3" customWidth="true" width="9.42578125" collapsed="true"/>
    <col min="4" max="4" customWidth="true" width="17.42578125" collapsed="true"/>
    <col min="5" max="5" customWidth="true" width="14.140625" collapsed="true"/>
  </cols>
  <sheetData>
    <row r="1" spans="1:5" ht="16.5" thickTop="1" thickBot="1" x14ac:dyDescent="0.3">
      <c r="A1" s="66" t="s">
        <v>271</v>
      </c>
      <c r="B1" s="66" t="s">
        <v>273</v>
      </c>
      <c r="C1" s="66" t="s">
        <v>272</v>
      </c>
      <c r="D1" s="66" t="s">
        <v>274</v>
      </c>
      <c r="E1" s="66" t="s">
        <v>275</v>
      </c>
    </row>
    <row r="2">
      <c r="A2" t="s">
        <v>493</v>
      </c>
      <c r="B2" t="s">
        <v>492</v>
      </c>
      <c r="C2" t="s">
        <v>494</v>
      </c>
      <c r="D2" t="s">
        <v>495</v>
      </c>
      <c r="E2" t="s">
        <v>496</v>
      </c>
    </row>
    <row r="3">
      <c r="A3" t="s">
        <v>493</v>
      </c>
      <c r="B3" t="s">
        <v>497</v>
      </c>
      <c r="C3" t="s">
        <v>494</v>
      </c>
      <c r="D3" t="s">
        <v>299</v>
      </c>
      <c r="E3" t="s">
        <v>498</v>
      </c>
    </row>
    <row r="4">
      <c r="A4" t="s">
        <v>493</v>
      </c>
      <c r="B4" t="s">
        <v>499</v>
      </c>
      <c r="C4" t="s">
        <v>500</v>
      </c>
      <c r="D4" t="s">
        <v>501</v>
      </c>
      <c r="E4" t="s">
        <v>502</v>
      </c>
    </row>
    <row r="5">
      <c r="A5" t="s">
        <v>493</v>
      </c>
      <c r="B5" t="s">
        <v>499</v>
      </c>
      <c r="C5" t="s">
        <v>500</v>
      </c>
      <c r="D5" t="s">
        <v>503</v>
      </c>
      <c r="E5" t="s">
        <v>502</v>
      </c>
    </row>
    <row r="6">
      <c r="A6" t="s">
        <v>505</v>
      </c>
      <c r="B6" t="s">
        <v>504</v>
      </c>
      <c r="C6" t="s">
        <v>494</v>
      </c>
      <c r="D6" t="s">
        <v>299</v>
      </c>
      <c r="E6" t="s">
        <v>498</v>
      </c>
    </row>
    <row r="7">
      <c r="A7" t="s">
        <v>505</v>
      </c>
      <c r="B7" t="s">
        <v>497</v>
      </c>
      <c r="C7" t="s">
        <v>494</v>
      </c>
      <c r="D7" t="s">
        <v>299</v>
      </c>
      <c r="E7" t="s">
        <v>506</v>
      </c>
    </row>
    <row r="8">
      <c r="A8" t="s">
        <v>505</v>
      </c>
      <c r="B8" t="s">
        <v>300</v>
      </c>
      <c r="C8" t="s">
        <v>507</v>
      </c>
      <c r="D8" t="s">
        <v>299</v>
      </c>
      <c r="E8" t="s">
        <v>498</v>
      </c>
    </row>
    <row r="9">
      <c r="A9" t="s">
        <v>505</v>
      </c>
      <c r="B9" t="s">
        <v>302</v>
      </c>
      <c r="C9" t="s">
        <v>507</v>
      </c>
      <c r="D9" t="s">
        <v>299</v>
      </c>
      <c r="E9" t="s">
        <v>498</v>
      </c>
    </row>
    <row r="10">
      <c r="A10" t="s">
        <v>505</v>
      </c>
      <c r="B10" t="s">
        <v>499</v>
      </c>
      <c r="C10" t="s">
        <v>500</v>
      </c>
      <c r="D10" t="s">
        <v>508</v>
      </c>
      <c r="E10" t="s">
        <v>506</v>
      </c>
    </row>
    <row r="11">
      <c r="A11" t="s">
        <v>505</v>
      </c>
      <c r="B11" t="s">
        <v>509</v>
      </c>
      <c r="C11" t="s">
        <v>500</v>
      </c>
      <c r="D11" t="s">
        <v>299</v>
      </c>
      <c r="E11" t="s">
        <v>498</v>
      </c>
    </row>
    <row r="12">
      <c r="A12" t="s">
        <v>505</v>
      </c>
      <c r="B12" t="s">
        <v>509</v>
      </c>
      <c r="C12" t="s">
        <v>500</v>
      </c>
      <c r="D12" t="s">
        <v>382</v>
      </c>
      <c r="E12" t="s">
        <v>498</v>
      </c>
    </row>
    <row r="13">
      <c r="A13" t="s">
        <v>505</v>
      </c>
      <c r="B13" t="s">
        <v>509</v>
      </c>
      <c r="C13" t="s">
        <v>500</v>
      </c>
      <c r="D13" t="s">
        <v>510</v>
      </c>
      <c r="E13" t="s">
        <v>498</v>
      </c>
    </row>
    <row r="14">
      <c r="A14" t="s">
        <v>505</v>
      </c>
      <c r="B14" t="s">
        <v>511</v>
      </c>
      <c r="C14" t="s">
        <v>500</v>
      </c>
      <c r="D14" t="s">
        <v>299</v>
      </c>
      <c r="E14" t="s">
        <v>498</v>
      </c>
    </row>
    <row r="15">
      <c r="A15" t="s">
        <v>505</v>
      </c>
      <c r="B15" t="s">
        <v>511</v>
      </c>
      <c r="C15" t="s">
        <v>500</v>
      </c>
      <c r="D15" t="s">
        <v>382</v>
      </c>
      <c r="E15" t="s">
        <v>498</v>
      </c>
    </row>
    <row r="16">
      <c r="A16" t="s">
        <v>505</v>
      </c>
      <c r="B16" t="s">
        <v>511</v>
      </c>
      <c r="C16" t="s">
        <v>500</v>
      </c>
      <c r="D16" t="s">
        <v>510</v>
      </c>
      <c r="E16" t="s">
        <v>498</v>
      </c>
    </row>
    <row r="17">
      <c r="A17" t="s">
        <v>505</v>
      </c>
      <c r="B17" t="s">
        <v>512</v>
      </c>
      <c r="C17" t="s">
        <v>500</v>
      </c>
      <c r="D17" t="s">
        <v>299</v>
      </c>
      <c r="E17" t="s">
        <v>498</v>
      </c>
    </row>
    <row r="18">
      <c r="A18" t="s">
        <v>505</v>
      </c>
      <c r="B18" t="s">
        <v>512</v>
      </c>
      <c r="C18" t="s">
        <v>500</v>
      </c>
      <c r="D18" t="s">
        <v>382</v>
      </c>
      <c r="E18" t="s">
        <v>498</v>
      </c>
    </row>
    <row r="19">
      <c r="A19" t="s">
        <v>505</v>
      </c>
      <c r="B19" t="s">
        <v>512</v>
      </c>
      <c r="C19" t="s">
        <v>500</v>
      </c>
      <c r="D19" t="s">
        <v>510</v>
      </c>
      <c r="E19" t="s">
        <v>498</v>
      </c>
    </row>
    <row r="20">
      <c r="A20" t="s">
        <v>505</v>
      </c>
      <c r="B20" t="s">
        <v>513</v>
      </c>
      <c r="C20" t="s">
        <v>500</v>
      </c>
      <c r="D20" t="s">
        <v>508</v>
      </c>
      <c r="E20" t="s">
        <v>514</v>
      </c>
    </row>
    <row r="21">
      <c r="A21" t="s">
        <v>516</v>
      </c>
      <c r="B21" t="s">
        <v>515</v>
      </c>
      <c r="C21" t="s">
        <v>494</v>
      </c>
      <c r="D21" t="s">
        <v>517</v>
      </c>
      <c r="E21" t="s">
        <v>496</v>
      </c>
    </row>
    <row r="22">
      <c r="A22" t="s">
        <v>518</v>
      </c>
      <c r="B22" t="s">
        <v>497</v>
      </c>
      <c r="C22" t="s">
        <v>494</v>
      </c>
      <c r="D22" t="s">
        <v>382</v>
      </c>
      <c r="E22" t="s">
        <v>506</v>
      </c>
    </row>
  </sheetData>
  <autoFilter ref="A1:E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zoomScale="90" zoomScaleNormal="90" workbookViewId="0">
      <selection activeCell="I20" sqref="I20"/>
    </sheetView>
  </sheetViews>
  <sheetFormatPr defaultRowHeight="15" x14ac:dyDescent="0.25"/>
  <cols>
    <col min="2" max="2" customWidth="true" width="18.28515625" collapsed="true"/>
  </cols>
  <sheetData>
    <row r="1" spans="1:2" x14ac:dyDescent="0.25">
      <c r="A1" t="s">
        <v>141</v>
      </c>
      <c r="B1" t="s">
        <v>276</v>
      </c>
    </row>
    <row r="2">
      <c r="A2" t="s">
        <v>308</v>
      </c>
      <c r="B2" t="s">
        <v>519</v>
      </c>
    </row>
    <row r="3">
      <c r="A3" t="s">
        <v>308</v>
      </c>
      <c r="B3" t="s">
        <v>520</v>
      </c>
    </row>
    <row r="4">
      <c r="A4" t="s">
        <v>304</v>
      </c>
      <c r="B4" t="s">
        <v>519</v>
      </c>
    </row>
    <row r="5">
      <c r="A5" t="s">
        <v>304</v>
      </c>
      <c r="B5" t="s">
        <v>521</v>
      </c>
    </row>
    <row r="6">
      <c r="A6" t="s">
        <v>304</v>
      </c>
      <c r="B6" t="s">
        <v>522</v>
      </c>
    </row>
    <row r="7">
      <c r="A7" t="s">
        <v>304</v>
      </c>
      <c r="B7" t="s">
        <v>523</v>
      </c>
    </row>
    <row r="8">
      <c r="A8" t="s">
        <v>304</v>
      </c>
      <c r="B8" t="s">
        <v>524</v>
      </c>
    </row>
    <row r="9">
      <c r="A9" t="s">
        <v>304</v>
      </c>
      <c r="B9" t="s">
        <v>525</v>
      </c>
    </row>
    <row r="10">
      <c r="A10" t="s">
        <v>304</v>
      </c>
      <c r="B10" t="s">
        <v>526</v>
      </c>
    </row>
    <row r="11">
      <c r="A11" t="s">
        <v>304</v>
      </c>
      <c r="B11" t="s">
        <v>527</v>
      </c>
    </row>
    <row r="12">
      <c r="A12" t="s">
        <v>304</v>
      </c>
      <c r="B12" t="s">
        <v>528</v>
      </c>
    </row>
    <row r="13">
      <c r="A13" t="s">
        <v>304</v>
      </c>
      <c r="B13" t="s">
        <v>529</v>
      </c>
    </row>
    <row r="14">
      <c r="A14" t="s">
        <v>385</v>
      </c>
      <c r="B14" t="s">
        <v>519</v>
      </c>
    </row>
    <row r="15">
      <c r="A15" t="s">
        <v>385</v>
      </c>
      <c r="B15" t="s">
        <v>530</v>
      </c>
    </row>
    <row r="16">
      <c r="A16" t="s">
        <v>385</v>
      </c>
      <c r="B16" t="s">
        <v>531</v>
      </c>
    </row>
    <row r="17">
      <c r="A17" t="s">
        <v>306</v>
      </c>
      <c r="B17" t="s">
        <v>519</v>
      </c>
    </row>
    <row r="18">
      <c r="A18" t="s">
        <v>306</v>
      </c>
      <c r="B18" t="s">
        <v>521</v>
      </c>
    </row>
    <row r="19">
      <c r="A19" t="s">
        <v>306</v>
      </c>
      <c r="B19" t="s">
        <v>522</v>
      </c>
    </row>
    <row r="20">
      <c r="A20" t="s">
        <v>306</v>
      </c>
      <c r="B20" t="s">
        <v>523</v>
      </c>
    </row>
    <row r="21">
      <c r="A21" t="s">
        <v>306</v>
      </c>
      <c r="B21" t="s">
        <v>524</v>
      </c>
    </row>
    <row r="22">
      <c r="A22" t="s">
        <v>306</v>
      </c>
      <c r="B22" t="s">
        <v>525</v>
      </c>
    </row>
    <row r="23">
      <c r="A23" t="s">
        <v>306</v>
      </c>
      <c r="B23" t="s">
        <v>526</v>
      </c>
    </row>
    <row r="24">
      <c r="A24" t="s">
        <v>306</v>
      </c>
      <c r="B24" t="s">
        <v>527</v>
      </c>
    </row>
    <row r="25">
      <c r="A25" t="s">
        <v>306</v>
      </c>
      <c r="B25" t="s">
        <v>528</v>
      </c>
    </row>
    <row r="26">
      <c r="A26" t="s">
        <v>306</v>
      </c>
      <c r="B26" t="s">
        <v>529</v>
      </c>
    </row>
    <row r="27">
      <c r="A27" t="s">
        <v>417</v>
      </c>
      <c r="B27" t="s">
        <v>519</v>
      </c>
    </row>
    <row r="28">
      <c r="A28" t="s">
        <v>417</v>
      </c>
      <c r="B28" t="s">
        <v>521</v>
      </c>
    </row>
    <row r="29">
      <c r="A29" t="s">
        <v>417</v>
      </c>
      <c r="B29" t="s">
        <v>522</v>
      </c>
    </row>
    <row r="30">
      <c r="A30" t="s">
        <v>417</v>
      </c>
      <c r="B30" t="s">
        <v>523</v>
      </c>
    </row>
    <row r="31">
      <c r="A31" t="s">
        <v>417</v>
      </c>
      <c r="B31" t="s">
        <v>524</v>
      </c>
    </row>
    <row r="32">
      <c r="A32" t="s">
        <v>417</v>
      </c>
      <c r="B32" t="s">
        <v>525</v>
      </c>
    </row>
    <row r="33">
      <c r="A33" t="s">
        <v>417</v>
      </c>
      <c r="B33" t="s">
        <v>526</v>
      </c>
    </row>
    <row r="34">
      <c r="A34" t="s">
        <v>417</v>
      </c>
      <c r="B34" t="s">
        <v>532</v>
      </c>
    </row>
    <row r="35">
      <c r="A35" t="s">
        <v>398</v>
      </c>
      <c r="B35" t="s">
        <v>519</v>
      </c>
    </row>
    <row r="36">
      <c r="A36" t="s">
        <v>398</v>
      </c>
      <c r="B36" t="s">
        <v>533</v>
      </c>
    </row>
    <row r="37">
      <c r="A37" t="s">
        <v>398</v>
      </c>
      <c r="B37" t="s">
        <v>534</v>
      </c>
    </row>
    <row r="38">
      <c r="A38" t="s">
        <v>399</v>
      </c>
      <c r="B38" t="s">
        <v>519</v>
      </c>
    </row>
    <row r="39">
      <c r="A39" t="s">
        <v>399</v>
      </c>
      <c r="B39" t="s">
        <v>535</v>
      </c>
    </row>
    <row r="40">
      <c r="A40" t="s">
        <v>298</v>
      </c>
      <c r="B40" t="s">
        <v>536</v>
      </c>
    </row>
    <row r="41">
      <c r="A41" t="s">
        <v>401</v>
      </c>
      <c r="B41" t="s">
        <v>519</v>
      </c>
    </row>
    <row r="42">
      <c r="A42" t="s">
        <v>401</v>
      </c>
      <c r="B42" t="s">
        <v>537</v>
      </c>
    </row>
  </sheetData>
  <autoFilter ref="A1:B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1" t="s">
        <v>54</v>
      </c>
      <c r="B1" s="11"/>
      <c r="C1" s="11"/>
      <c r="D1" s="11"/>
      <c r="E1" s="11"/>
      <c r="F1" s="11"/>
    </row>
    <row r="2" spans="1:6" ht="15.75" thickTop="1" x14ac:dyDescent="0.25">
      <c r="A2" s="13" t="s">
        <v>3</v>
      </c>
      <c r="B2" s="48" t="s">
        <v>39</v>
      </c>
      <c r="C2" s="48" t="s">
        <v>163</v>
      </c>
      <c r="D2" s="48" t="s">
        <v>40</v>
      </c>
      <c r="E2" s="48" t="s">
        <v>41</v>
      </c>
      <c r="F2" s="48" t="s">
        <v>42</v>
      </c>
    </row>
    <row r="3" spans="1:6" x14ac:dyDescent="0.25">
      <c r="E3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2" t="s">
        <v>54</v>
      </c>
      <c r="B1" s="12"/>
      <c r="C1" s="12"/>
      <c r="D1" s="12"/>
      <c r="E1" s="12"/>
      <c r="F1" s="12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159</v>
      </c>
      <c r="B3" s="3" t="s">
        <v>172</v>
      </c>
      <c r="C3" s="3" t="s">
        <v>191</v>
      </c>
      <c r="D3" s="3" t="s">
        <v>185</v>
      </c>
      <c r="E3" s="3"/>
      <c r="F3" s="3"/>
      <c r="G3" s="47" t="s">
        <v>161</v>
      </c>
      <c r="H3" s="47" t="s">
        <v>162</v>
      </c>
      <c r="I3" s="47" t="s">
        <v>164</v>
      </c>
    </row>
    <row r="4" spans="1:9" ht="15.75" thickTop="1" x14ac:dyDescent="0.25">
      <c r="A4" s="3" t="s">
        <v>159</v>
      </c>
      <c r="B4" s="3" t="s">
        <v>173</v>
      </c>
      <c r="C4" s="3" t="s">
        <v>192</v>
      </c>
      <c r="D4" s="3" t="s">
        <v>198</v>
      </c>
      <c r="E4" s="3"/>
      <c r="F4" s="3"/>
    </row>
    <row r="5" spans="1:9" x14ac:dyDescent="0.25">
      <c r="A5" s="3" t="s">
        <v>159</v>
      </c>
      <c r="B5" s="3" t="s">
        <v>174</v>
      </c>
      <c r="C5" s="3" t="s">
        <v>193</v>
      </c>
      <c r="D5" s="3" t="s">
        <v>199</v>
      </c>
      <c r="E5" s="3"/>
      <c r="F5" s="3"/>
    </row>
    <row r="6" spans="1:9" x14ac:dyDescent="0.25">
      <c r="A6" s="3" t="s">
        <v>159</v>
      </c>
      <c r="B6" s="3" t="s">
        <v>175</v>
      </c>
      <c r="C6" s="3" t="s">
        <v>194</v>
      </c>
      <c r="D6" s="3" t="s">
        <v>200</v>
      </c>
      <c r="E6" s="3"/>
      <c r="F6" s="3"/>
    </row>
    <row r="7" spans="1:9" x14ac:dyDescent="0.25">
      <c r="A7" s="3" t="s">
        <v>159</v>
      </c>
      <c r="B7" s="3" t="s">
        <v>144</v>
      </c>
      <c r="C7" s="3" t="s">
        <v>194</v>
      </c>
      <c r="D7" s="3" t="s">
        <v>186</v>
      </c>
      <c r="E7" s="3"/>
      <c r="F7" s="3"/>
    </row>
    <row r="8" spans="1:9" x14ac:dyDescent="0.25">
      <c r="A8" s="3" t="s">
        <v>159</v>
      </c>
      <c r="B8" s="3" t="s">
        <v>176</v>
      </c>
      <c r="C8" s="3" t="s">
        <v>194</v>
      </c>
      <c r="D8" s="3" t="s">
        <v>201</v>
      </c>
      <c r="E8" s="3"/>
      <c r="F8" s="3"/>
    </row>
    <row r="9" spans="1:9" x14ac:dyDescent="0.25">
      <c r="A9" s="3" t="s">
        <v>159</v>
      </c>
      <c r="B9" s="3" t="s">
        <v>175</v>
      </c>
      <c r="C9" s="3" t="s">
        <v>194</v>
      </c>
      <c r="D9" s="3" t="s">
        <v>202</v>
      </c>
      <c r="E9" s="3"/>
      <c r="F9" s="3"/>
    </row>
    <row r="10" spans="1:9" x14ac:dyDescent="0.25">
      <c r="A10" s="3" t="s">
        <v>159</v>
      </c>
      <c r="B10" s="3" t="s">
        <v>144</v>
      </c>
      <c r="C10" s="3" t="s">
        <v>194</v>
      </c>
      <c r="D10" s="3" t="s">
        <v>187</v>
      </c>
      <c r="E10" s="3"/>
      <c r="F10" s="3"/>
    </row>
    <row r="11" spans="1:9" x14ac:dyDescent="0.25">
      <c r="A11" s="3" t="s">
        <v>159</v>
      </c>
      <c r="B11" s="3" t="s">
        <v>177</v>
      </c>
      <c r="C11" s="3" t="s">
        <v>194</v>
      </c>
      <c r="D11" s="3" t="s">
        <v>203</v>
      </c>
      <c r="E11" s="3"/>
      <c r="F11" s="3"/>
    </row>
    <row r="12" spans="1:9" x14ac:dyDescent="0.25">
      <c r="A12" s="3" t="s">
        <v>159</v>
      </c>
      <c r="B12" s="3" t="s">
        <v>178</v>
      </c>
      <c r="C12" s="3" t="s">
        <v>194</v>
      </c>
      <c r="D12" s="3" t="s">
        <v>188</v>
      </c>
      <c r="E12" s="3"/>
      <c r="F12" s="3"/>
    </row>
    <row r="13" spans="1:9" x14ac:dyDescent="0.25">
      <c r="A13" s="3" t="s">
        <v>159</v>
      </c>
      <c r="B13" s="3" t="s">
        <v>144</v>
      </c>
      <c r="C13" s="3" t="s">
        <v>194</v>
      </c>
      <c r="D13" s="3" t="s">
        <v>189</v>
      </c>
      <c r="E13" s="3"/>
      <c r="F13" s="3"/>
    </row>
    <row r="14" spans="1:9" x14ac:dyDescent="0.25">
      <c r="A14" s="3" t="s">
        <v>159</v>
      </c>
      <c r="B14" s="3" t="s">
        <v>179</v>
      </c>
      <c r="C14" s="3" t="s">
        <v>194</v>
      </c>
      <c r="D14" s="3" t="s">
        <v>204</v>
      </c>
      <c r="E14" s="3"/>
      <c r="F14" s="3"/>
    </row>
    <row r="15" spans="1:9" x14ac:dyDescent="0.25">
      <c r="A15" s="3" t="s">
        <v>159</v>
      </c>
      <c r="B15" s="3" t="s">
        <v>180</v>
      </c>
      <c r="C15" s="3" t="s">
        <v>194</v>
      </c>
      <c r="D15" s="3" t="s">
        <v>205</v>
      </c>
      <c r="E15" s="3"/>
      <c r="F15" s="3"/>
    </row>
    <row r="16" spans="1:9" x14ac:dyDescent="0.25">
      <c r="A16" s="3" t="s">
        <v>159</v>
      </c>
      <c r="B16" s="3" t="s">
        <v>145</v>
      </c>
      <c r="C16" s="3" t="s">
        <v>194</v>
      </c>
      <c r="D16" s="3" t="s">
        <v>206</v>
      </c>
      <c r="E16" s="3"/>
      <c r="F16" s="3"/>
    </row>
    <row r="17" spans="1:6" x14ac:dyDescent="0.25">
      <c r="A17" s="3" t="s">
        <v>159</v>
      </c>
      <c r="B17" s="3" t="s">
        <v>145</v>
      </c>
      <c r="C17" s="3" t="s">
        <v>194</v>
      </c>
      <c r="D17" s="3" t="s">
        <v>190</v>
      </c>
      <c r="E17" s="3"/>
      <c r="F17" s="3"/>
    </row>
    <row r="18" spans="1:6" x14ac:dyDescent="0.25">
      <c r="A18" s="3" t="s">
        <v>159</v>
      </c>
      <c r="B18" s="3" t="s">
        <v>181</v>
      </c>
      <c r="C18" s="3" t="s">
        <v>195</v>
      </c>
      <c r="D18" s="3" t="s">
        <v>207</v>
      </c>
      <c r="E18" s="3"/>
      <c r="F18" s="3"/>
    </row>
    <row r="19" spans="1:6" x14ac:dyDescent="0.25">
      <c r="A19" s="3" t="s">
        <v>159</v>
      </c>
      <c r="B19" s="3" t="s">
        <v>147</v>
      </c>
      <c r="C19" s="3" t="s">
        <v>196</v>
      </c>
      <c r="D19" s="3" t="s">
        <v>208</v>
      </c>
      <c r="E19" s="3"/>
      <c r="F19" s="3"/>
    </row>
    <row r="20" spans="1:6" x14ac:dyDescent="0.25">
      <c r="A20" s="3" t="s">
        <v>159</v>
      </c>
      <c r="B20" s="3" t="s">
        <v>147</v>
      </c>
      <c r="C20" s="3" t="s">
        <v>196</v>
      </c>
      <c r="D20" s="3" t="s">
        <v>209</v>
      </c>
      <c r="E20" s="3"/>
      <c r="F20" s="3"/>
    </row>
    <row r="21" spans="1:6" x14ac:dyDescent="0.25">
      <c r="A21" s="3" t="s">
        <v>159</v>
      </c>
      <c r="B21" s="3" t="s">
        <v>147</v>
      </c>
      <c r="C21" s="3" t="s">
        <v>196</v>
      </c>
      <c r="D21" s="3" t="s">
        <v>210</v>
      </c>
      <c r="E21" s="3"/>
      <c r="F21" s="3"/>
    </row>
    <row r="22" spans="1:6" x14ac:dyDescent="0.25">
      <c r="A22" s="3" t="s">
        <v>159</v>
      </c>
      <c r="B22" s="3" t="s">
        <v>147</v>
      </c>
      <c r="C22" s="3" t="s">
        <v>196</v>
      </c>
      <c r="D22" s="3" t="s">
        <v>211</v>
      </c>
      <c r="E22" s="3"/>
      <c r="F22" s="3"/>
    </row>
    <row r="23" spans="1:6" x14ac:dyDescent="0.25">
      <c r="A23" s="3" t="s">
        <v>159</v>
      </c>
      <c r="B23" s="3" t="s">
        <v>147</v>
      </c>
      <c r="C23" s="3" t="s">
        <v>196</v>
      </c>
      <c r="D23" s="3" t="s">
        <v>212</v>
      </c>
      <c r="E23" s="3"/>
      <c r="F23" s="3"/>
    </row>
    <row r="24" spans="1:6" x14ac:dyDescent="0.25">
      <c r="A24" s="3" t="s">
        <v>159</v>
      </c>
      <c r="B24" s="3" t="s">
        <v>147</v>
      </c>
      <c r="C24" s="3" t="s">
        <v>196</v>
      </c>
      <c r="D24" s="3" t="s">
        <v>213</v>
      </c>
      <c r="E24" s="3"/>
      <c r="F24" s="3"/>
    </row>
    <row r="25" spans="1:6" x14ac:dyDescent="0.25">
      <c r="A25" s="3" t="s">
        <v>159</v>
      </c>
      <c r="B25" s="3" t="s">
        <v>147</v>
      </c>
      <c r="C25" s="3" t="s">
        <v>196</v>
      </c>
      <c r="D25" s="3" t="s">
        <v>214</v>
      </c>
      <c r="E25" s="3"/>
      <c r="F25" s="3"/>
    </row>
    <row r="26" spans="1:6" x14ac:dyDescent="0.25">
      <c r="A26" s="3" t="s">
        <v>159</v>
      </c>
      <c r="B26" s="3" t="s">
        <v>147</v>
      </c>
      <c r="C26" s="3" t="s">
        <v>196</v>
      </c>
      <c r="D26" s="3" t="s">
        <v>215</v>
      </c>
      <c r="E26" s="3"/>
      <c r="F26" s="3"/>
    </row>
    <row r="27" spans="1:6" x14ac:dyDescent="0.25">
      <c r="A27" s="3" t="s">
        <v>159</v>
      </c>
      <c r="B27" s="3" t="s">
        <v>147</v>
      </c>
      <c r="C27" s="3" t="s">
        <v>194</v>
      </c>
      <c r="D27" s="3" t="s">
        <v>216</v>
      </c>
      <c r="E27" s="3"/>
      <c r="F27" s="3"/>
    </row>
    <row r="28" spans="1:6" x14ac:dyDescent="0.25">
      <c r="A28" s="3" t="s">
        <v>159</v>
      </c>
      <c r="B28" s="3" t="s">
        <v>179</v>
      </c>
      <c r="C28" s="3" t="s">
        <v>194</v>
      </c>
      <c r="D28" s="3" t="s">
        <v>217</v>
      </c>
      <c r="E28" s="3"/>
      <c r="F28" s="3"/>
    </row>
    <row r="29" spans="1:6" x14ac:dyDescent="0.25">
      <c r="A29" s="3" t="s">
        <v>159</v>
      </c>
      <c r="B29" s="3" t="s">
        <v>179</v>
      </c>
      <c r="C29" s="3" t="s">
        <v>194</v>
      </c>
      <c r="D29" s="3" t="s">
        <v>218</v>
      </c>
      <c r="E29" s="3"/>
      <c r="F29" s="3"/>
    </row>
    <row r="30" spans="1:6" x14ac:dyDescent="0.25">
      <c r="A30" s="3" t="s">
        <v>159</v>
      </c>
      <c r="B30" s="3" t="s">
        <v>179</v>
      </c>
      <c r="C30" s="3" t="s">
        <v>194</v>
      </c>
      <c r="D30" s="3" t="s">
        <v>219</v>
      </c>
      <c r="E30" s="3"/>
      <c r="F30" s="3"/>
    </row>
    <row r="31" spans="1:6" x14ac:dyDescent="0.25">
      <c r="A31" s="3" t="s">
        <v>159</v>
      </c>
      <c r="B31" s="3" t="s">
        <v>179</v>
      </c>
      <c r="C31" s="3" t="s">
        <v>194</v>
      </c>
      <c r="D31" s="3" t="s">
        <v>220</v>
      </c>
      <c r="E31" s="3"/>
      <c r="F31" s="3"/>
    </row>
    <row r="32" spans="1:6" x14ac:dyDescent="0.25">
      <c r="A32" s="3" t="s">
        <v>159</v>
      </c>
      <c r="B32" s="3" t="s">
        <v>179</v>
      </c>
      <c r="C32" s="3" t="s">
        <v>194</v>
      </c>
      <c r="D32" s="3" t="s">
        <v>221</v>
      </c>
      <c r="E32" s="3"/>
      <c r="F32" s="3"/>
    </row>
    <row r="33" spans="1:6" x14ac:dyDescent="0.25">
      <c r="A33" s="3" t="s">
        <v>159</v>
      </c>
      <c r="B33" s="3" t="s">
        <v>179</v>
      </c>
      <c r="C33" s="3" t="s">
        <v>194</v>
      </c>
      <c r="D33" s="3" t="s">
        <v>222</v>
      </c>
      <c r="E33" s="3"/>
      <c r="F33" s="3"/>
    </row>
    <row r="34" spans="1:6" x14ac:dyDescent="0.25">
      <c r="A34" s="3" t="s">
        <v>159</v>
      </c>
      <c r="B34" s="3" t="s">
        <v>179</v>
      </c>
      <c r="C34" s="3" t="s">
        <v>194</v>
      </c>
      <c r="D34" s="3" t="s">
        <v>223</v>
      </c>
      <c r="E34" s="3"/>
      <c r="F34" s="3"/>
    </row>
    <row r="35" spans="1:6" x14ac:dyDescent="0.25">
      <c r="A35" s="3" t="s">
        <v>159</v>
      </c>
      <c r="B35" s="3" t="s">
        <v>147</v>
      </c>
      <c r="C35" s="3" t="s">
        <v>196</v>
      </c>
      <c r="D35" s="3" t="s">
        <v>224</v>
      </c>
      <c r="E35" s="3"/>
      <c r="F35" s="3"/>
    </row>
    <row r="36" spans="1:6" x14ac:dyDescent="0.25">
      <c r="A36" s="3" t="s">
        <v>159</v>
      </c>
      <c r="B36" s="3" t="s">
        <v>147</v>
      </c>
      <c r="C36" s="3" t="s">
        <v>196</v>
      </c>
      <c r="D36" s="3" t="s">
        <v>225</v>
      </c>
      <c r="E36" s="3"/>
      <c r="F36" s="3"/>
    </row>
    <row r="37" spans="1:6" x14ac:dyDescent="0.25">
      <c r="A37" s="3" t="s">
        <v>159</v>
      </c>
      <c r="B37" s="3" t="s">
        <v>147</v>
      </c>
      <c r="C37" s="3" t="s">
        <v>196</v>
      </c>
      <c r="D37" s="3" t="s">
        <v>226</v>
      </c>
      <c r="E37" s="3"/>
      <c r="F37" s="3"/>
    </row>
    <row r="38" spans="1:6" x14ac:dyDescent="0.25">
      <c r="A38" s="3" t="s">
        <v>159</v>
      </c>
      <c r="B38" s="3" t="s">
        <v>147</v>
      </c>
      <c r="C38" s="3" t="s">
        <v>196</v>
      </c>
      <c r="D38" s="3" t="s">
        <v>227</v>
      </c>
      <c r="E38" s="3"/>
      <c r="F38" s="3"/>
    </row>
    <row r="39" spans="1:6" x14ac:dyDescent="0.25">
      <c r="A39" s="3" t="s">
        <v>159</v>
      </c>
      <c r="B39" s="3" t="s">
        <v>147</v>
      </c>
      <c r="C39" s="3" t="s">
        <v>196</v>
      </c>
      <c r="D39" s="3" t="s">
        <v>228</v>
      </c>
      <c r="E39" s="3"/>
      <c r="F39" s="3"/>
    </row>
    <row r="40" spans="1:6" x14ac:dyDescent="0.25">
      <c r="A40" s="3" t="s">
        <v>159</v>
      </c>
      <c r="B40" s="3" t="s">
        <v>147</v>
      </c>
      <c r="C40" s="3" t="s">
        <v>196</v>
      </c>
      <c r="D40" s="3" t="s">
        <v>229</v>
      </c>
      <c r="E40" s="3"/>
      <c r="F40" s="3"/>
    </row>
    <row r="41" spans="1:6" x14ac:dyDescent="0.25">
      <c r="A41" s="3" t="s">
        <v>159</v>
      </c>
      <c r="B41" s="3" t="s">
        <v>147</v>
      </c>
      <c r="C41" s="3" t="s">
        <v>196</v>
      </c>
      <c r="D41" s="3" t="s">
        <v>230</v>
      </c>
      <c r="E41" s="3"/>
      <c r="F41" s="3"/>
    </row>
    <row r="42" spans="1:6" x14ac:dyDescent="0.25">
      <c r="A42" s="3" t="s">
        <v>159</v>
      </c>
      <c r="B42" s="3" t="s">
        <v>147</v>
      </c>
      <c r="C42" s="3" t="s">
        <v>192</v>
      </c>
      <c r="D42" s="3" t="s">
        <v>231</v>
      </c>
      <c r="E42" s="3"/>
      <c r="F42" s="3"/>
    </row>
    <row r="43" spans="1:6" x14ac:dyDescent="0.25">
      <c r="A43" s="3" t="s">
        <v>159</v>
      </c>
      <c r="B43" s="3" t="s">
        <v>147</v>
      </c>
      <c r="C43" s="3" t="s">
        <v>192</v>
      </c>
      <c r="D43" s="3" t="s">
        <v>232</v>
      </c>
      <c r="E43" s="3"/>
      <c r="F43" s="3"/>
    </row>
    <row r="44" spans="1:6" x14ac:dyDescent="0.25">
      <c r="A44" s="3" t="s">
        <v>159</v>
      </c>
      <c r="B44" s="3" t="s">
        <v>147</v>
      </c>
      <c r="C44" s="3" t="s">
        <v>192</v>
      </c>
      <c r="D44" s="3" t="s">
        <v>233</v>
      </c>
      <c r="E44" s="3"/>
      <c r="F44" s="3"/>
    </row>
    <row r="45" spans="1:6" x14ac:dyDescent="0.25">
      <c r="A45" s="3" t="s">
        <v>159</v>
      </c>
      <c r="B45" s="3" t="s">
        <v>147</v>
      </c>
      <c r="C45" s="3" t="s">
        <v>192</v>
      </c>
      <c r="D45" s="3" t="s">
        <v>234</v>
      </c>
      <c r="E45" s="3"/>
      <c r="F45" s="3"/>
    </row>
    <row r="46" spans="1:6" x14ac:dyDescent="0.25">
      <c r="A46" s="3" t="s">
        <v>159</v>
      </c>
      <c r="B46" s="3" t="s">
        <v>147</v>
      </c>
      <c r="C46" s="3" t="s">
        <v>192</v>
      </c>
      <c r="D46" s="3" t="s">
        <v>235</v>
      </c>
      <c r="E46" s="3"/>
      <c r="F46" s="3"/>
    </row>
    <row r="47" spans="1:6" x14ac:dyDescent="0.25">
      <c r="A47" s="3" t="s">
        <v>159</v>
      </c>
      <c r="B47" s="3" t="s">
        <v>147</v>
      </c>
      <c r="C47" s="3" t="s">
        <v>192</v>
      </c>
      <c r="D47" s="3" t="s">
        <v>236</v>
      </c>
      <c r="E47" s="3"/>
      <c r="F47" s="3"/>
    </row>
    <row r="48" spans="1:6" x14ac:dyDescent="0.25">
      <c r="A48" s="3" t="s">
        <v>159</v>
      </c>
      <c r="B48" s="3" t="s">
        <v>180</v>
      </c>
      <c r="C48" s="3" t="s">
        <v>194</v>
      </c>
      <c r="D48" s="3" t="s">
        <v>237</v>
      </c>
      <c r="E48" s="3"/>
      <c r="F48" s="3"/>
    </row>
    <row r="49" spans="1:6" x14ac:dyDescent="0.25">
      <c r="A49" s="3" t="s">
        <v>159</v>
      </c>
      <c r="B49" s="3" t="s">
        <v>182</v>
      </c>
      <c r="C49" s="3" t="s">
        <v>194</v>
      </c>
      <c r="D49" s="3" t="s">
        <v>238</v>
      </c>
      <c r="E49" s="3"/>
      <c r="F49" s="3"/>
    </row>
    <row r="50" spans="1:6" x14ac:dyDescent="0.25">
      <c r="A50" s="3" t="s">
        <v>159</v>
      </c>
      <c r="B50" s="3" t="s">
        <v>147</v>
      </c>
      <c r="C50" s="3" t="s">
        <v>192</v>
      </c>
      <c r="D50" s="3" t="s">
        <v>239</v>
      </c>
      <c r="E50" s="3"/>
      <c r="F50" s="3"/>
    </row>
    <row r="51" spans="1:6" x14ac:dyDescent="0.25">
      <c r="A51" s="3" t="s">
        <v>159</v>
      </c>
      <c r="B51" s="3" t="s">
        <v>183</v>
      </c>
      <c r="C51" s="3" t="s">
        <v>194</v>
      </c>
      <c r="D51" s="3" t="s">
        <v>240</v>
      </c>
      <c r="E51" s="3"/>
      <c r="F51" s="3"/>
    </row>
    <row r="52" spans="1:6" x14ac:dyDescent="0.25">
      <c r="A52" s="3" t="s">
        <v>159</v>
      </c>
      <c r="B52" s="3" t="s">
        <v>184</v>
      </c>
      <c r="C52" s="3" t="s">
        <v>191</v>
      </c>
      <c r="D52" s="3" t="s">
        <v>197</v>
      </c>
      <c r="E52" s="3"/>
      <c r="F52" s="3"/>
    </row>
    <row r="53" spans="1:6" x14ac:dyDescent="0.25">
      <c r="A53" s="3" t="s">
        <v>159</v>
      </c>
      <c r="B53" s="3" t="s">
        <v>147</v>
      </c>
      <c r="C53" s="3" t="s">
        <v>192</v>
      </c>
      <c r="D53" s="3" t="s">
        <v>241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1" t="s">
        <v>54</v>
      </c>
      <c r="B1" s="11"/>
      <c r="C1" s="11"/>
      <c r="D1" s="11"/>
    </row>
    <row r="2" spans="1:516" s="9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9" t="s">
        <v>4</v>
      </c>
    </row>
    <row r="3" spans="1:516" s="9" customFormat="1" ht="15.75" thickTop="1" x14ac:dyDescent="0.25">
      <c r="A3" s="3" t="s">
        <v>159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9" customFormat="1" x14ac:dyDescent="0.25">
      <c r="A4" s="3" t="s">
        <v>159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9" customFormat="1" x14ac:dyDescent="0.25">
      <c r="A5" s="3" t="s">
        <v>159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9" customFormat="1" x14ac:dyDescent="0.25">
      <c r="A6" s="3" t="s">
        <v>159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9" customFormat="1" x14ac:dyDescent="0.25">
      <c r="A7" s="3" t="s">
        <v>159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9" customFormat="1" x14ac:dyDescent="0.25">
      <c r="A8" s="3" t="s">
        <v>159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9" customFormat="1" x14ac:dyDescent="0.25">
      <c r="A9" s="3" t="s">
        <v>159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9" customFormat="1" x14ac:dyDescent="0.25">
      <c r="A10" s="3" t="s">
        <v>159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9" customFormat="1" x14ac:dyDescent="0.25">
      <c r="A11" s="3" t="s">
        <v>159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9" customFormat="1" x14ac:dyDescent="0.25">
      <c r="A12" s="3" t="s">
        <v>159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9" customFormat="1" x14ac:dyDescent="0.25">
      <c r="A13" s="3" t="s">
        <v>159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9" customFormat="1" x14ac:dyDescent="0.25">
      <c r="A14" s="3" t="s">
        <v>159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9" customFormat="1" x14ac:dyDescent="0.25">
      <c r="A15" s="3" t="s">
        <v>159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9" customFormat="1" x14ac:dyDescent="0.25">
      <c r="A16" s="3" t="s">
        <v>159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9" customFormat="1" x14ac:dyDescent="0.25">
      <c r="A17" s="3" t="s">
        <v>159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9" customFormat="1" x14ac:dyDescent="0.25">
      <c r="A18" s="3" t="s">
        <v>159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9" customFormat="1" x14ac:dyDescent="0.25">
      <c r="A19" s="3" t="s">
        <v>159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9" customFormat="1" x14ac:dyDescent="0.25">
      <c r="A20" s="3" t="s">
        <v>159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9" customFormat="1" x14ac:dyDescent="0.25">
      <c r="A21" s="3" t="s">
        <v>159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9" customFormat="1" x14ac:dyDescent="0.25">
      <c r="A22" s="3" t="s">
        <v>159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159</v>
      </c>
      <c r="B23" s="46" t="s">
        <v>160</v>
      </c>
      <c r="C23" s="46"/>
      <c r="D23" s="46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0" t="s">
        <v>54</v>
      </c>
    </row>
    <row r="2" spans="1:4" ht="15.75" thickTop="1" x14ac:dyDescent="0.25">
      <c r="A2" s="14" t="s">
        <v>3</v>
      </c>
      <c r="B2" s="14" t="s">
        <v>43</v>
      </c>
      <c r="C2" s="14" t="s">
        <v>124</v>
      </c>
      <c r="D2" s="14" t="s">
        <v>53</v>
      </c>
    </row>
    <row r="3" spans="1:4" x14ac:dyDescent="0.25">
      <c r="A3" s="3" t="s">
        <v>0</v>
      </c>
      <c r="B3" s="7" t="s">
        <v>44</v>
      </c>
      <c r="C3" s="2" t="s">
        <v>45</v>
      </c>
      <c r="D3" s="3" t="s">
        <v>55</v>
      </c>
    </row>
    <row r="4" spans="1:4" x14ac:dyDescent="0.25">
      <c r="A4" s="3" t="s">
        <v>1</v>
      </c>
      <c r="B4" s="7" t="s">
        <v>46</v>
      </c>
      <c r="C4" s="7" t="s">
        <v>50</v>
      </c>
      <c r="D4" s="3" t="s">
        <v>56</v>
      </c>
    </row>
    <row r="5" spans="1:4" x14ac:dyDescent="0.25">
      <c r="A5" s="3" t="s">
        <v>2</v>
      </c>
      <c r="B5" s="7" t="s">
        <v>48</v>
      </c>
      <c r="C5" s="7" t="s">
        <v>51</v>
      </c>
      <c r="D5" s="3" t="s">
        <v>57</v>
      </c>
    </row>
    <row r="6" spans="1:4" x14ac:dyDescent="0.25">
      <c r="A6" s="3" t="s">
        <v>7</v>
      </c>
      <c r="C6" s="7" t="s">
        <v>49</v>
      </c>
      <c r="D6" s="3" t="s">
        <v>58</v>
      </c>
    </row>
    <row r="7" spans="1:4" x14ac:dyDescent="0.25">
      <c r="C7" s="7" t="s">
        <v>52</v>
      </c>
      <c r="D7" s="3" t="s">
        <v>59</v>
      </c>
    </row>
    <row r="8" spans="1:4" x14ac:dyDescent="0.25">
      <c r="C8" s="7" t="s">
        <v>47</v>
      </c>
      <c r="D8" s="3" t="s">
        <v>60</v>
      </c>
    </row>
    <row r="9" spans="1:4" x14ac:dyDescent="0.25">
      <c r="C9" s="43" t="s">
        <v>157</v>
      </c>
      <c r="D9" s="3" t="s">
        <v>61</v>
      </c>
    </row>
    <row r="10" spans="1:4" x14ac:dyDescent="0.25">
      <c r="D10" s="3" t="s">
        <v>62</v>
      </c>
    </row>
    <row r="11" spans="1:4" x14ac:dyDescent="0.25">
      <c r="A11"/>
      <c r="B11"/>
      <c r="C11"/>
      <c r="D11" s="3" t="s">
        <v>63</v>
      </c>
    </row>
    <row r="12" spans="1:4" x14ac:dyDescent="0.25">
      <c r="A12"/>
      <c r="B12"/>
      <c r="C12"/>
      <c r="D12" s="3" t="s">
        <v>64</v>
      </c>
    </row>
    <row r="13" spans="1:4" x14ac:dyDescent="0.25">
      <c r="D13" s="3" t="s">
        <v>65</v>
      </c>
    </row>
    <row r="14" spans="1:4" x14ac:dyDescent="0.25">
      <c r="D14" s="3" t="s">
        <v>66</v>
      </c>
    </row>
    <row r="15" spans="1:4" x14ac:dyDescent="0.25">
      <c r="D15" s="3" t="s">
        <v>67</v>
      </c>
    </row>
    <row r="16" spans="1:4" x14ac:dyDescent="0.25">
      <c r="D16" s="3" t="s">
        <v>68</v>
      </c>
    </row>
    <row r="17" spans="4:4" x14ac:dyDescent="0.25">
      <c r="D17" s="3" t="s">
        <v>69</v>
      </c>
    </row>
    <row r="18" spans="4:4" x14ac:dyDescent="0.25">
      <c r="D18" s="3" t="s">
        <v>70</v>
      </c>
    </row>
    <row r="19" spans="4:4" x14ac:dyDescent="0.25">
      <c r="D19" s="3" t="s">
        <v>71</v>
      </c>
    </row>
    <row r="20" spans="4:4" x14ac:dyDescent="0.25">
      <c r="D20" s="3" t="s">
        <v>72</v>
      </c>
    </row>
    <row r="21" spans="4:4" x14ac:dyDescent="0.25">
      <c r="D21" s="3" t="s">
        <v>73</v>
      </c>
    </row>
    <row r="22" spans="4:4" x14ac:dyDescent="0.25">
      <c r="D22" s="3" t="s">
        <v>74</v>
      </c>
    </row>
    <row r="23" spans="4:4" x14ac:dyDescent="0.25">
      <c r="D23" s="3" t="s">
        <v>75</v>
      </c>
    </row>
    <row r="24" spans="4:4" x14ac:dyDescent="0.25">
      <c r="D24" s="3" t="s">
        <v>76</v>
      </c>
    </row>
    <row r="25" spans="4:4" x14ac:dyDescent="0.25">
      <c r="D25" s="3" t="s">
        <v>77</v>
      </c>
    </row>
    <row r="26" spans="4:4" x14ac:dyDescent="0.25">
      <c r="D26" s="3" t="s">
        <v>78</v>
      </c>
    </row>
    <row r="27" spans="4:4" x14ac:dyDescent="0.25">
      <c r="D27" s="3" t="s">
        <v>79</v>
      </c>
    </row>
    <row r="28" spans="4:4" x14ac:dyDescent="0.25">
      <c r="D28" s="3" t="s">
        <v>80</v>
      </c>
    </row>
    <row r="29" spans="4:4" x14ac:dyDescent="0.25">
      <c r="D29" s="3" t="s">
        <v>81</v>
      </c>
    </row>
    <row r="30" spans="4:4" x14ac:dyDescent="0.25">
      <c r="D30" s="3" t="s">
        <v>82</v>
      </c>
    </row>
    <row r="31" spans="4:4" x14ac:dyDescent="0.25">
      <c r="D31" s="3" t="s">
        <v>83</v>
      </c>
    </row>
    <row r="32" spans="4:4" x14ac:dyDescent="0.25">
      <c r="D32" s="3" t="s">
        <v>84</v>
      </c>
    </row>
    <row r="33" spans="4:4" x14ac:dyDescent="0.25">
      <c r="D33" s="3" t="s">
        <v>85</v>
      </c>
    </row>
    <row r="34" spans="4:4" x14ac:dyDescent="0.25">
      <c r="D34" s="3" t="s">
        <v>86</v>
      </c>
    </row>
    <row r="35" spans="4:4" x14ac:dyDescent="0.25">
      <c r="D35" s="3" t="s">
        <v>87</v>
      </c>
    </row>
    <row r="36" spans="4:4" x14ac:dyDescent="0.25">
      <c r="D36" s="3" t="s">
        <v>88</v>
      </c>
    </row>
    <row r="37" spans="4:4" x14ac:dyDescent="0.25">
      <c r="D37" s="3" t="s">
        <v>89</v>
      </c>
    </row>
    <row r="38" spans="4:4" x14ac:dyDescent="0.25">
      <c r="D38" s="3" t="s">
        <v>90</v>
      </c>
    </row>
    <row r="39" spans="4:4" x14ac:dyDescent="0.25">
      <c r="D39" s="3" t="s">
        <v>91</v>
      </c>
    </row>
    <row r="40" spans="4:4" x14ac:dyDescent="0.25">
      <c r="D40" s="3" t="s">
        <v>92</v>
      </c>
    </row>
    <row r="41" spans="4:4" x14ac:dyDescent="0.25">
      <c r="D41" s="3" t="s">
        <v>93</v>
      </c>
    </row>
    <row r="42" spans="4:4" x14ac:dyDescent="0.25">
      <c r="D42" s="3" t="s">
        <v>94</v>
      </c>
    </row>
    <row r="43" spans="4:4" x14ac:dyDescent="0.25">
      <c r="D43" s="3" t="s">
        <v>95</v>
      </c>
    </row>
    <row r="44" spans="4:4" x14ac:dyDescent="0.25">
      <c r="D44" s="3" t="s">
        <v>96</v>
      </c>
    </row>
    <row r="45" spans="4:4" x14ac:dyDescent="0.25">
      <c r="D45" s="3" t="s">
        <v>97</v>
      </c>
    </row>
    <row r="46" spans="4:4" x14ac:dyDescent="0.25">
      <c r="D46" s="3" t="s">
        <v>98</v>
      </c>
    </row>
    <row r="47" spans="4:4" x14ac:dyDescent="0.25">
      <c r="D47" s="3" t="s">
        <v>99</v>
      </c>
    </row>
    <row r="48" spans="4:4" x14ac:dyDescent="0.25">
      <c r="D48" s="3" t="s">
        <v>100</v>
      </c>
    </row>
    <row r="49" spans="4:4" x14ac:dyDescent="0.25">
      <c r="D49" s="3" t="s">
        <v>101</v>
      </c>
    </row>
    <row r="50" spans="4:4" x14ac:dyDescent="0.25">
      <c r="D50" s="3" t="s">
        <v>102</v>
      </c>
    </row>
    <row r="51" spans="4:4" x14ac:dyDescent="0.25">
      <c r="D51" s="3" t="s">
        <v>103</v>
      </c>
    </row>
    <row r="52" spans="4:4" x14ac:dyDescent="0.25">
      <c r="D52" s="3" t="s">
        <v>104</v>
      </c>
    </row>
    <row r="53" spans="4:4" x14ac:dyDescent="0.25">
      <c r="D53" s="3" t="s">
        <v>49</v>
      </c>
    </row>
    <row r="54" spans="4:4" x14ac:dyDescent="0.25">
      <c r="D54" s="3" t="s">
        <v>105</v>
      </c>
    </row>
    <row r="55" spans="4:4" x14ac:dyDescent="0.25">
      <c r="D55" s="3" t="s">
        <v>106</v>
      </c>
    </row>
    <row r="56" spans="4:4" x14ac:dyDescent="0.25">
      <c r="D56" s="3" t="s">
        <v>107</v>
      </c>
    </row>
    <row r="57" spans="4:4" x14ac:dyDescent="0.25">
      <c r="D57" s="3" t="s">
        <v>108</v>
      </c>
    </row>
    <row r="58" spans="4:4" x14ac:dyDescent="0.25">
      <c r="D58" s="3" t="s">
        <v>109</v>
      </c>
    </row>
    <row r="59" spans="4:4" x14ac:dyDescent="0.25">
      <c r="D59" s="3" t="s">
        <v>110</v>
      </c>
    </row>
    <row r="60" spans="4:4" x14ac:dyDescent="0.25">
      <c r="D60" s="3" t="s">
        <v>111</v>
      </c>
    </row>
    <row r="61" spans="4:4" x14ac:dyDescent="0.25">
      <c r="D61" s="3" t="s">
        <v>112</v>
      </c>
    </row>
    <row r="62" spans="4:4" x14ac:dyDescent="0.25">
      <c r="D62" s="3" t="s">
        <v>113</v>
      </c>
    </row>
    <row r="63" spans="4:4" x14ac:dyDescent="0.25">
      <c r="D63" s="3" t="s">
        <v>114</v>
      </c>
    </row>
    <row r="64" spans="4:4" x14ac:dyDescent="0.25">
      <c r="D64" s="3" t="s">
        <v>115</v>
      </c>
    </row>
    <row r="65" spans="4:4" x14ac:dyDescent="0.25">
      <c r="D65" s="3" t="s">
        <v>116</v>
      </c>
    </row>
    <row r="66" spans="4:4" x14ac:dyDescent="0.25">
      <c r="D66" s="3" t="s">
        <v>117</v>
      </c>
    </row>
    <row r="67" spans="4:4" x14ac:dyDescent="0.25">
      <c r="D67" s="3" t="s">
        <v>118</v>
      </c>
    </row>
    <row r="68" spans="4:4" x14ac:dyDescent="0.25">
      <c r="D68" s="3" t="s">
        <v>119</v>
      </c>
    </row>
    <row r="69" spans="4:4" x14ac:dyDescent="0.25">
      <c r="D69" s="3" t="s">
        <v>120</v>
      </c>
    </row>
    <row r="70" spans="4:4" x14ac:dyDescent="0.25">
      <c r="D70" s="3" t="s">
        <v>121</v>
      </c>
    </row>
    <row r="71" spans="4:4" x14ac:dyDescent="0.25">
      <c r="D71" s="3" t="s">
        <v>122</v>
      </c>
    </row>
    <row r="72" spans="4:4" x14ac:dyDescent="0.25">
      <c r="D72" s="3" t="s">
        <v>123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Queries</vt:lpstr>
      <vt:lpstr>pk_check_package before</vt:lpstr>
      <vt:lpstr>Patch list</vt:lpstr>
      <vt:lpstr>DB member list</vt:lpstr>
      <vt:lpstr>TFT op.</vt:lpstr>
      <vt:lpstr>List Of Synergy Objects</vt:lpstr>
      <vt:lpstr>MemberType Impacted Tables</vt:lpstr>
      <vt:lpstr>TOS-Error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2016-03-16T21:51:40Z</dcterms:modified>
</cp:coreProperties>
</file>