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 activeTab="3"/>
  </bookViews>
  <sheets>
    <sheet name="Summary" sheetId="1" r:id="rId1"/>
    <sheet name="Queries" sheetId="16" r:id="rId2"/>
    <sheet name="pk_check_package before" sheetId="3" r:id="rId3"/>
    <sheet name="Patch list" sheetId="27" r:id="rId4"/>
    <sheet name="DB member list" sheetId="28" r:id="rId5"/>
    <sheet name="TFT op." sheetId="29" r:id="rId6"/>
    <sheet name="Extra-change" sheetId="21" r:id="rId7"/>
    <sheet name="Update conflicts" sheetId="20" r:id="rId8"/>
    <sheet name="Syn Conflicts" sheetId="6" r:id="rId9"/>
    <sheet name="DB conflicts" sheetId="4" r:id="rId10"/>
    <sheet name="TOS-Error" sheetId="8" r:id="rId11"/>
    <sheet name="pk_check_package after" sheetId="26" r:id="rId12"/>
    <sheet name="Build V2" sheetId="10" r:id="rId13"/>
    <sheet name="Build V3" sheetId="11" r:id="rId14"/>
    <sheet name="myStatus" sheetId="13" r:id="rId15"/>
  </sheets>
  <externalReferences>
    <externalReference r:id="rId16"/>
  </externalReferences>
  <definedNames>
    <definedName name="_xlnm._FilterDatabase" localSheetId="12" hidden="1">'Build V2'!$A$2:$F$2</definedName>
    <definedName name="_xlnm._FilterDatabase" localSheetId="13" hidden="1">'Build V3'!$A$2:$C$20</definedName>
    <definedName name="_xlnm._FilterDatabase" localSheetId="4" hidden="1">'DB member list'!$A$1:$F$1</definedName>
    <definedName name="_xlnm._FilterDatabase" localSheetId="6" hidden="1">'Extra-change'!$A$2:$R$2</definedName>
    <definedName name="_xlnm._FilterDatabase" localSheetId="3" hidden="1">'Patch list'!$A$1:$F$1</definedName>
    <definedName name="_xlnm._FilterDatabase" localSheetId="11" hidden="1">'pk_check_package after'!$A$1:$L$60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8" hidden="1">'Syn Conflicts'!$A$1:$V$170</definedName>
    <definedName name="_xlnm._FilterDatabase" localSheetId="5" hidden="1">'TFT op.'!$A$1:$R$1</definedName>
    <definedName name="Z_11DA137D_FA21_4924_8652_5200ADF70677_.wvu.FilterData" localSheetId="12" hidden="1">'Build V2'!$A$2:$F$2</definedName>
    <definedName name="Z_11DA137D_FA21_4924_8652_5200ADF70677_.wvu.FilterData" localSheetId="13" hidden="1">'Build V3'!$A$2:$C$20</definedName>
    <definedName name="Z_11DA137D_FA21_4924_8652_5200ADF70677_.wvu.FilterData" localSheetId="11" hidden="1">'pk_check_package after'!$B$1:$K$127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" i="16" l="1"/>
  <c r="C3" i="16"/>
  <c r="C2" i="16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<sst xmlns="http://schemas.openxmlformats.org/spreadsheetml/2006/main" count="576" uniqueCount="327">
  <si>
    <t>Todo</t>
  </si>
  <si>
    <t>WIP</t>
  </si>
  <si>
    <t>Done</t>
  </si>
  <si>
    <t>Status</t>
  </si>
  <si>
    <t>cd $config/cruisecontrol/config/; grep "&lt;composite time=" *xml | sort -k2 | awk {print'$1'} | sed -e 's/config_//' -e 's/.xml://'</t>
  </si>
  <si>
    <t>Synopsis</t>
  </si>
  <si>
    <t>Steps</t>
  </si>
  <si>
    <t>Bypass</t>
  </si>
  <si>
    <t>Comments</t>
  </si>
  <si>
    <t>Issue</t>
  </si>
  <si>
    <t>Solution</t>
  </si>
  <si>
    <t>update</t>
  </si>
  <si>
    <t>clean</t>
  </si>
  <si>
    <t>plugins</t>
  </si>
  <si>
    <t>jframe</t>
  </si>
  <si>
    <t>webservices</t>
  </si>
  <si>
    <t>custom</t>
  </si>
  <si>
    <t>all</t>
  </si>
  <si>
    <t>b2c_business</t>
  </si>
  <si>
    <t>b2c_fwk</t>
  </si>
  <si>
    <t>b2c_middle</t>
  </si>
  <si>
    <t>b2n_business</t>
  </si>
  <si>
    <t>config</t>
  </si>
  <si>
    <t>b2c_web</t>
  </si>
  <si>
    <t>b2n_web</t>
  </si>
  <si>
    <t>b2o</t>
  </si>
  <si>
    <t>b2r_web</t>
  </si>
  <si>
    <t>thirdparty</t>
  </si>
  <si>
    <t>thalerng</t>
  </si>
  <si>
    <t>thalerng-nw</t>
  </si>
  <si>
    <t>jboss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</si>
  <si>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</si>
  <si>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</si>
  <si>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</si>
  <si>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</si>
  <si>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</si>
  <si>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</si>
  <si>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</si>
  <si>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</si>
  <si>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#Operation order</t>
  </si>
  <si>
    <t>Transfer type</t>
  </si>
  <si>
    <t>Group name</t>
  </si>
  <si>
    <t>Source type</t>
  </si>
  <si>
    <t>Source name</t>
  </si>
  <si>
    <t>Action type</t>
  </si>
  <si>
    <t>Patch reference</t>
  </si>
  <si>
    <t>Patch title</t>
  </si>
  <si>
    <t>Developer</t>
  </si>
  <si>
    <t>Patch status</t>
  </si>
  <si>
    <t>Description1</t>
  </si>
  <si>
    <t>Conflict ref.</t>
  </si>
  <si>
    <t>Conflict title</t>
  </si>
  <si>
    <t>Conflict developer</t>
  </si>
  <si>
    <t>#ID</t>
  </si>
  <si>
    <t>Project</t>
  </si>
  <si>
    <t>File</t>
  </si>
  <si>
    <t>Conflict type</t>
  </si>
  <si>
    <t>Task</t>
  </si>
  <si>
    <t>Merge already done</t>
  </si>
  <si>
    <t>Patch synopsis</t>
  </si>
  <si>
    <t>Patch Owner</t>
  </si>
  <si>
    <t>Used file</t>
  </si>
  <si>
    <t>Used task</t>
  </si>
  <si>
    <t>Used Patch</t>
  </si>
  <si>
    <t>Used Patch synopsis</t>
  </si>
  <si>
    <t>Used Patch status</t>
  </si>
  <si>
    <t>Used Patch owner</t>
  </si>
  <si>
    <t>STEP</t>
  </si>
  <si>
    <t>CMD</t>
  </si>
  <si>
    <t>ERROR</t>
  </si>
  <si>
    <t>COMMENT</t>
  </si>
  <si>
    <t>Risk</t>
  </si>
  <si>
    <t>Low</t>
  </si>
  <si>
    <t>BKO</t>
  </si>
  <si>
    <t>Medium</t>
  </si>
  <si>
    <t>GER</t>
  </si>
  <si>
    <t>High</t>
  </si>
  <si>
    <t>TDR</t>
  </si>
  <si>
    <t>JFB</t>
  </si>
  <si>
    <t>JGH</t>
  </si>
  <si>
    <t>OLC</t>
  </si>
  <si>
    <t>Group</t>
  </si>
  <si>
    <t>Environment</t>
  </si>
  <si>
    <t>Summary</t>
  </si>
  <si>
    <t>ABC</t>
  </si>
  <si>
    <t>BLE</t>
  </si>
  <si>
    <t>EBC</t>
  </si>
  <si>
    <t>FF1</t>
  </si>
  <si>
    <t>FIP</t>
  </si>
  <si>
    <t>FLT</t>
  </si>
  <si>
    <t>GSE</t>
  </si>
  <si>
    <t>NBA</t>
  </si>
  <si>
    <t>NEW</t>
  </si>
  <si>
    <t>PBM</t>
  </si>
  <si>
    <t>PBN</t>
  </si>
  <si>
    <t>PBZ</t>
  </si>
  <si>
    <t>PCC</t>
  </si>
  <si>
    <t>PDE</t>
  </si>
  <si>
    <t>PDF</t>
  </si>
  <si>
    <t>PDI</t>
  </si>
  <si>
    <t>PDW</t>
  </si>
  <si>
    <t>PEC</t>
  </si>
  <si>
    <t>PF0</t>
  </si>
  <si>
    <t>PF1</t>
  </si>
  <si>
    <t>PFD</t>
  </si>
  <si>
    <t>PFR</t>
  </si>
  <si>
    <t>PGO</t>
  </si>
  <si>
    <t>PIC</t>
  </si>
  <si>
    <t>PIP</t>
  </si>
  <si>
    <t>PIR</t>
  </si>
  <si>
    <t>PIS</t>
  </si>
  <si>
    <t>PJB</t>
  </si>
  <si>
    <t>PLO</t>
  </si>
  <si>
    <t>PMB</t>
  </si>
  <si>
    <t>PMO</t>
  </si>
  <si>
    <t>PMU</t>
  </si>
  <si>
    <t>PND</t>
  </si>
  <si>
    <t>PNI</t>
  </si>
  <si>
    <t>PNS</t>
  </si>
  <si>
    <t>POC</t>
  </si>
  <si>
    <t>PP0</t>
  </si>
  <si>
    <t>PP1</t>
  </si>
  <si>
    <t>PPL</t>
  </si>
  <si>
    <t>PRB</t>
  </si>
  <si>
    <t>PSC</t>
  </si>
  <si>
    <t>PTE</t>
  </si>
  <si>
    <t>PTW</t>
  </si>
  <si>
    <t>REF</t>
  </si>
  <si>
    <t>RF0</t>
  </si>
  <si>
    <t>SBA</t>
  </si>
  <si>
    <t>TBM</t>
  </si>
  <si>
    <t>TBZ</t>
  </si>
  <si>
    <t>TDE</t>
  </si>
  <si>
    <t>TDF</t>
  </si>
  <si>
    <t>TEC</t>
  </si>
  <si>
    <t>TF0</t>
  </si>
  <si>
    <t>TF1</t>
  </si>
  <si>
    <t>TFD</t>
  </si>
  <si>
    <t>TGO</t>
  </si>
  <si>
    <t>TIC</t>
  </si>
  <si>
    <t>TIP</t>
  </si>
  <si>
    <t>TIR</t>
  </si>
  <si>
    <t>TMB</t>
  </si>
  <si>
    <t>TMO</t>
  </si>
  <si>
    <t>TMU</t>
  </si>
  <si>
    <t>TND</t>
  </si>
  <si>
    <t>TNI</t>
  </si>
  <si>
    <t>TNS</t>
  </si>
  <si>
    <t>TP1</t>
  </si>
  <si>
    <t>TPL</t>
  </si>
  <si>
    <t>TRB</t>
  </si>
  <si>
    <t>TTW</t>
  </si>
  <si>
    <t>TZT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</si>
  <si>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</si>
  <si>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</si>
  <si>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</si>
  <si>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</si>
  <si>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</si>
  <si>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</si>
  <si>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</si>
  <si>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</si>
  <si>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</si>
  <si>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</si>
  <si>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</si>
  <si>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</si>
  <si>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</si>
  <si>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Queries</t>
  </si>
  <si>
    <t>Type</t>
  </si>
  <si>
    <t>Description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</si>
  <si>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</si>
  <si>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</si>
  <si>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</si>
  <si>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</si>
  <si>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</si>
  <si>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</si>
  <si>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</si>
  <si>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</si>
  <si>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</si>
  <si>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</si>
  <si>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</si>
  <si>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</si>
  <si>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</si>
  <si>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</si>
  <si>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</si>
  <si>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</si>
  <si>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</si>
  <si>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</si>
  <si>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</si>
  <si>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name</t>
  </si>
  <si>
    <t>Instance</t>
  </si>
  <si>
    <t>Version in Extra</t>
  </si>
  <si>
    <t>Maintenances in Extra</t>
  </si>
  <si>
    <t>Group in Extra</t>
  </si>
  <si>
    <t>Subject in Extra</t>
  </si>
  <si>
    <t>Type in Extra</t>
  </si>
  <si>
    <t>Status in Extra</t>
  </si>
  <si>
    <t>Synopsis in Extra</t>
  </si>
  <si>
    <t>Min Version</t>
  </si>
  <si>
    <t>Max Version</t>
  </si>
  <si>
    <t>Maintenances asked</t>
  </si>
  <si>
    <t>GAL</t>
  </si>
  <si>
    <t>comment</t>
  </si>
  <si>
    <t>todo</t>
  </si>
  <si>
    <t>deploy</t>
  </si>
  <si>
    <t>ROUTINES</t>
  </si>
  <si>
    <t>TPS</t>
  </si>
  <si>
    <t>RESP</t>
  </si>
  <si>
    <t>Companies</t>
  </si>
  <si>
    <t>Concatenate_patch</t>
  </si>
  <si>
    <t>Concatenate_source</t>
  </si>
  <si>
    <t>Substep</t>
  </si>
  <si>
    <t>Batches</t>
  </si>
  <si>
    <t>List of patches</t>
  </si>
  <si>
    <t>Patch List</t>
  </si>
  <si>
    <t>List of Tft ops</t>
  </si>
  <si>
    <t>Generated tft ops</t>
  </si>
  <si>
    <t>no</t>
  </si>
  <si>
    <t>zOS dst</t>
  </si>
  <si>
    <t>zOS src</t>
  </si>
  <si>
    <t>ARGS</t>
  </si>
  <si>
    <t>IMPACTS</t>
  </si>
  <si>
    <t>ZOS</t>
  </si>
  <si>
    <t>FCLEAN</t>
  </si>
  <si>
    <t>STOP</t>
  </si>
  <si>
    <t>DIR</t>
  </si>
  <si>
    <t>NT</t>
  </si>
  <si>
    <t>GEN</t>
  </si>
  <si>
    <t>TSD</t>
  </si>
  <si>
    <t>CLEAN</t>
  </si>
  <si>
    <t>RIGHTS</t>
  </si>
  <si>
    <t>START</t>
  </si>
  <si>
    <t>SIMUL</t>
  </si>
  <si>
    <t xml:space="preserve"> Check the procedure arguments [localhost</t>
  </si>
  <si>
    <t xml:space="preserve"> Deploy the BES configuration files [SYN</t>
  </si>
  <si>
    <t xml:space="preserve"> Re-deploy the BES configuration files [SYN</t>
  </si>
  <si>
    <t xml:space="preserve"> Create the NT root directory (nt/Documentation) [</t>
  </si>
  <si>
    <t xml:space="preserve"> Deploy the BES sources [SYN</t>
  </si>
  <si>
    <t xml:space="preserve"> Adapt the scripts pk_testuser ($sub/pk_testuser)</t>
  </si>
  <si>
    <t>ALL</t>
  </si>
  <si>
    <t xml:space="preserve"> SELECTIVE</t>
  </si>
  <si>
    <t xml:space="preserve"> ZOS</t>
  </si>
  <si>
    <t xml:space="preserve"> SCRATCH</t>
  </si>
  <si>
    <t xml:space="preserve"> CLEAN</t>
  </si>
  <si>
    <t xml:space="preserve"> FULL</t>
  </si>
  <si>
    <t xml:space="preserve"> List all the simulated commands localhost</t>
  </si>
  <si>
    <t xml:space="preserve"> Generate the list of impacted members </t>
  </si>
  <si>
    <t xml:space="preserve"> Build the entire zOS BES </t>
  </si>
  <si>
    <t xml:space="preserve"> Full clean the BES configuration files '$glo' </t>
  </si>
  <si>
    <t xml:space="preserve"> Stop the Unix BES </t>
  </si>
  <si>
    <t xml:space="preserve"> Full clean the BES directories '$PKROOTDIR/$nomenv/' </t>
  </si>
  <si>
    <t xml:space="preserve"> Create Unix BES directories structure </t>
  </si>
  <si>
    <t xml:space="preserve"> Deploy the default BES sources needed to create the environment from scratch </t>
  </si>
  <si>
    <t xml:space="preserve"> Check if TSD is installed </t>
  </si>
  <si>
    <t xml:space="preserve"> Configure the BES environment ($cfg) </t>
  </si>
  <si>
    <t xml:space="preserve"> Clean the binaries (.a, .o,...) before compilation </t>
  </si>
  <si>
    <t xml:space="preserve"> Compile $srcro/acces/xml </t>
  </si>
  <si>
    <t xml:space="preserve"> Compile $srcro/acces/crypt_DAL </t>
  </si>
  <si>
    <t xml:space="preserve"> Compile $srcro/acces/secret_DAL </t>
  </si>
  <si>
    <t xml:space="preserve"> Compile $srcro/acces </t>
  </si>
  <si>
    <t xml:space="preserve"> Load the predifined .def </t>
  </si>
  <si>
    <t xml:space="preserve"> Compile the generation tools </t>
  </si>
  <si>
    <t xml:space="preserve"> Compile $srcro/acces (*.c and *.cbl) </t>
  </si>
  <si>
    <t xml:space="preserve"> Compile the last generation tools </t>
  </si>
  <si>
    <t xml:space="preserve"> Load VAD02 cache </t>
  </si>
  <si>
    <t xml:space="preserve"> Generation of the copies, maps and .def </t>
  </si>
  <si>
    <t xml:space="preserve"> Update the filedesc configuration (HDD12/HDD13) </t>
  </si>
  <si>
    <t xml:space="preserve"> Generation of the filedesc </t>
  </si>
  <si>
    <t xml:space="preserve"> Re-compile $srcro/acces/xml </t>
  </si>
  <si>
    <t xml:space="preserve"> Re-compile $srcro/acces/crypt_DAL </t>
  </si>
  <si>
    <t xml:space="preserve"> Re-Compile $srcro/acces/secret_DAL </t>
  </si>
  <si>
    <t xml:space="preserve"> Re-compile $srcro/acces </t>
  </si>
  <si>
    <t xml:space="preserve"> Generation of the sources from templates </t>
  </si>
  <si>
    <t xml:space="preserve"> Generation of AGE4 code copy </t>
  </si>
  <si>
    <t xml:space="preserve"> Generation of XML/FLAT formatting routines </t>
  </si>
  <si>
    <t xml:space="preserve"> Generation of XML/FLAT/MAQ formatting alerts for XM-8 </t>
  </si>
  <si>
    <t xml:space="preserve"> Create sub-event routines XV-1 </t>
  </si>
  <si>
    <t xml:space="preserve"> Create XV routines </t>
  </si>
  <si>
    <t xml:space="preserve"> Generation of the routines based on their model </t>
  </si>
  <si>
    <t xml:space="preserve"> Compile $srcro </t>
  </si>
  <si>
    <t xml:space="preserve"> Compile $src </t>
  </si>
  <si>
    <t xml:space="preserve"> Compile $src/cohab </t>
  </si>
  <si>
    <t xml:space="preserve"> Generation of the TPs based on their model </t>
  </si>
  <si>
    <t xml:space="preserve"> Compile $srctp </t>
  </si>
  <si>
    <t xml:space="preserve"> Compile $srcba </t>
  </si>
  <si>
    <t xml:space="preserve"> Load the TSD configuration file and start the TSD master </t>
  </si>
  <si>
    <t xml:space="preserve"> Set the appropriate BES rights (pk_set_rights) </t>
  </si>
  <si>
    <t xml:space="preserve"> Compile the containers </t>
  </si>
  <si>
    <t xml:space="preserve"> Re-start the Unix BES </t>
  </si>
  <si>
    <t xml:space="preserve"> Global compilation summary 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</si>
  <si>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</si>
  <si>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</si>
  <si>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</si>
  <si>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</si>
  <si>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</si>
  <si>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</si>
  <si>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</si>
  <si>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</si>
  <si>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</si>
  <si>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</si>
  <si>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</si>
  <si>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</si>
  <si>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</si>
  <si>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</si>
  <si>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</si>
  <si>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</si>
  <si>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</si>
  <si>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</si>
  <si>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</si>
  <si>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</si>
  <si>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</si>
  <si>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</si>
  <si>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</si>
  <si>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</si>
  <si>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</si>
  <si>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</si>
  <si>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</si>
  <si>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</si>
  <si>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</si>
  <si>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PACK-PRG-0001</t>
  </si>
  <si>
    <t>[dr] test TST functionnal group</t>
  </si>
  <si>
    <t>SASPRG</t>
  </si>
  <si>
    <t>SASBLD</t>
  </si>
  <si>
    <t>Z00004</t>
  </si>
  <si>
    <t>STAPAT-to-be-added</t>
  </si>
  <si>
    <t>TST</t>
  </si>
  <si>
    <t>Translation/Documentation</t>
  </si>
  <si>
    <t>[patch]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</si>
</sst>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17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ck">
        <color theme="4"/>
      </bottom>
      <diagonal/>
    </border>
    <border>
      <left/>
      <right style="medium">
        <color indexed="64"/>
      </right>
      <top/>
      <bottom style="thick">
        <color theme="4"/>
      </bottom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5" fillId="36" borderId="32" applyNumberFormat="0" applyAlignment="0" applyProtection="0"/>
    <xf numFmtId="0" fontId="26" fillId="37" borderId="0" applyNumberFormat="0" applyBorder="0" applyAlignment="0" applyProtection="0"/>
  </cellStyleXfs>
  <cellXfs count="78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10" xfId="13" applyBorder="1"/>
    <xf numFmtId="0" fontId="0" fillId="0" borderId="0" xfId="0" applyBorder="1"/>
    <xf numFmtId="0" fontId="13" fillId="7" borderId="21" xfId="13" applyBorder="1"/>
    <xf numFmtId="0" fontId="0" fillId="0" borderId="15" xfId="0" applyBorder="1"/>
    <xf numFmtId="0" fontId="0" fillId="35" borderId="0" xfId="0" applyFill="1"/>
    <xf numFmtId="0" fontId="20" fillId="0" borderId="0" xfId="0" applyFont="1" applyFill="1"/>
    <xf numFmtId="0" fontId="0" fillId="0" borderId="0" xfId="0" applyFill="1"/>
    <xf numFmtId="0" fontId="13" fillId="7" borderId="7" xfId="13" applyAlignment="1">
      <alignment vertical="top"/>
    </xf>
    <xf numFmtId="0" fontId="21" fillId="0" borderId="0" xfId="42"/>
    <xf numFmtId="0" fontId="21" fillId="0" borderId="22" xfId="42" applyBorder="1" applyAlignment="1"/>
    <xf numFmtId="0" fontId="21" fillId="0" borderId="23" xfId="42" applyBorder="1" applyAlignment="1"/>
    <xf numFmtId="0" fontId="13" fillId="7" borderId="21" xfId="13" applyBorder="1" applyAlignment="1"/>
    <xf numFmtId="0" fontId="13" fillId="7" borderId="21" xfId="13" applyBorder="1" applyAlignment="1">
      <alignment horizontal="center"/>
    </xf>
    <xf numFmtId="0" fontId="21" fillId="0" borderId="0" xfId="42" applyBorder="1" applyAlignment="1"/>
    <xf numFmtId="0" fontId="24" fillId="0" borderId="0" xfId="0" applyFont="1"/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0" borderId="17" xfId="0" applyFont="1" applyBorder="1" applyAlignment="1">
      <alignment horizontal="lef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vertical="center"/>
    </xf>
    <xf numFmtId="0" fontId="13" fillId="7" borderId="21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9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5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25" xfId="0" applyFill="1" applyBorder="1"/>
    <xf numFmtId="0" fontId="0" fillId="0" borderId="0" xfId="0" applyFill="1" applyBorder="1"/>
    <xf numFmtId="0" fontId="0" fillId="0" borderId="0" xfId="0"/>
    <xf numFmtId="0" fontId="0" fillId="0" borderId="26" xfId="0" applyFill="1" applyBorder="1"/>
    <xf numFmtId="0" fontId="3" fillId="0" borderId="1" xfId="2"/>
    <xf numFmtId="0" fontId="13" fillId="7" borderId="21" xfId="13" applyBorder="1" applyAlignment="1">
      <alignment vertical="top"/>
    </xf>
    <xf numFmtId="0" fontId="0" fillId="0" borderId="0" xfId="0" applyAlignment="1">
      <alignment wrapText="1"/>
    </xf>
    <xf numFmtId="0" fontId="3" fillId="0" borderId="27" xfId="2" applyBorder="1"/>
    <xf numFmtId="0" fontId="9" fillId="5" borderId="4" xfId="9" applyBorder="1"/>
    <xf numFmtId="0" fontId="3" fillId="0" borderId="28" xfId="2" applyBorder="1"/>
    <xf numFmtId="0" fontId="0" fillId="0" borderId="13" xfId="0" applyBorder="1"/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3" fillId="7" borderId="21" xfId="13" applyBorder="1" applyAlignment="1">
      <alignment horizontal="center" vertical="center"/>
    </xf>
    <xf numFmtId="0" fontId="25" fillId="36" borderId="32" xfId="44" applyNumberFormat="1" applyFont="1" applyAlignment="1" applyProtection="1"/>
    <xf numFmtId="0" fontId="25" fillId="36" borderId="33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6" fillId="37" borderId="32" xfId="45" applyNumberFormat="1" applyFont="1" applyBorder="1" applyAlignment="1" applyProtection="1"/>
    <xf numFmtId="0" fontId="26" fillId="37" borderId="0" xfId="45" applyNumberFormat="1" applyFont="1" applyBorder="1" applyAlignment="1" applyProtection="1"/>
    <xf numFmtId="0" fontId="25" fillId="36" borderId="34" xfId="44" applyNumberFormat="1" applyFont="1" applyBorder="1" applyAlignment="1" applyProtection="1"/>
    <xf numFmtId="0" fontId="17" fillId="25" borderId="29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3" fillId="7" borderId="30" xfId="13" applyBorder="1" applyAlignment="1">
      <alignment horizontal="center" vertical="center"/>
    </xf>
    <xf numFmtId="0" fontId="13" fillId="7" borderId="31" xfId="13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0"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externalLinks/externalLink1.xml" Type="http://schemas.openxmlformats.org/officeDocument/2006/relationships/externalLink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externalLinks/_rels/externalLink1.xml.rels><?xml version="1.0" encoding="UTF-8" standalone="no"?>
<Relationships xmlns="http://schemas.openxmlformats.org/package/2006/relationships">
<Relationship Id="rId1" Target="/Users/gletellier/Documents/201401/17.%20PIP%20PIPz/PACK-PIP-0072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drawings/vmlDrawing1.vml" Type="http://schemas.openxmlformats.org/officeDocument/2006/relationships/vmlDrawing"/>
<Relationship Id="rId4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printerSettings/printerSettings5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printerSettings/printerSettings7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zoomScale="85" zoomScaleNormal="85" workbookViewId="0">
      <pane ySplit="14" topLeftCell="A15" activePane="bottomLeft" state="frozen"/>
      <selection pane="bottomLeft" activeCell="C10" sqref="C10"/>
    </sheetView>
  </sheetViews>
  <sheetFormatPr defaultRowHeight="15" x14ac:dyDescent="0.25"/>
  <cols>
    <col min="1" max="1" bestFit="true" customWidth="true" style="24" width="7.5703125" collapsed="true"/>
    <col min="2" max="2" bestFit="true" customWidth="true" style="39" width="13.5703125" collapsed="true"/>
    <col min="3" max="3" bestFit="true" customWidth="true" style="24" width="72.5703125" collapsed="true"/>
    <col min="4" max="4" bestFit="true" customWidth="true" style="24" width="7.85546875" collapsed="true"/>
    <col min="5" max="5" bestFit="true" customWidth="true" style="24" width="7.140625" collapsed="true"/>
    <col min="6" max="6" bestFit="true" customWidth="true" style="24" width="16.42578125" collapsed="true"/>
    <col min="7" max="7" bestFit="true" customWidth="true" style="24" width="15.0" collapsed="true"/>
    <col min="8" max="8" bestFit="true" customWidth="true" style="24" width="5.7109375" collapsed="true"/>
    <col min="9" max="9" bestFit="true" customWidth="true" style="24" width="73.28515625" collapsed="true"/>
    <col min="10" max="10" bestFit="true" customWidth="true" style="24" width="100.28515625" collapsed="true"/>
    <col min="11" max="11" customWidth="true" style="24" width="58.85546875" collapsed="true"/>
    <col min="12" max="16384" style="24" width="9.140625" collapsed="true"/>
  </cols>
  <sheetData>
    <row r="1" spans="1:10" ht="3.75" customHeight="1" x14ac:dyDescent="0.25">
      <c r="A1" s="20"/>
      <c r="B1" s="38"/>
      <c r="C1" s="21"/>
      <c r="D1" s="21"/>
      <c r="E1" s="22"/>
      <c r="F1" s="23"/>
      <c r="G1" s="23"/>
      <c r="H1" s="23"/>
      <c r="I1" s="23"/>
      <c r="J1"/>
    </row>
    <row r="2" spans="1:10" ht="15" customHeight="1" x14ac:dyDescent="0.25">
      <c r="A2" s="71" t="s">
        <v>5</v>
      </c>
      <c r="B2" s="72"/>
      <c r="C2" s="27" t="s">
        <v>319</v>
      </c>
      <c r="D2" s="28"/>
      <c r="E2" s="26" t="s">
        <v>155</v>
      </c>
      <c r="F2" s="24" t="s">
        <v>320</v>
      </c>
      <c r="G2" s="26" t="s">
        <v>156</v>
      </c>
      <c r="H2" s="24" t="s">
        <v>321</v>
      </c>
      <c r="I2" s="29"/>
      <c r="J2"/>
    </row>
    <row r="3" spans="1:10" ht="3.75" customHeight="1" x14ac:dyDescent="0.25">
      <c r="A3" s="25"/>
      <c r="B3" s="40"/>
      <c r="C3" s="28"/>
      <c r="D3" s="28"/>
      <c r="E3" s="28"/>
      <c r="F3" s="28"/>
      <c r="G3" s="28"/>
      <c r="H3" s="28"/>
      <c r="I3" s="29"/>
      <c r="J3"/>
    </row>
    <row r="4" spans="1:10" ht="15" customHeight="1" x14ac:dyDescent="0.25">
      <c r="A4" s="71" t="s">
        <v>158</v>
      </c>
      <c r="B4" s="73"/>
      <c r="C4" s="45"/>
      <c r="D4" s="28"/>
      <c r="E4" s="26" t="s">
        <v>3</v>
      </c>
      <c r="F4" s="27" t="s">
        <v>202</v>
      </c>
      <c r="G4" s="26" t="s">
        <v>157</v>
      </c>
      <c r="H4" s="27" t="s">
        <v>72</v>
      </c>
      <c r="I4" s="29"/>
      <c r="J4"/>
    </row>
    <row r="5" spans="1:10" ht="3.75" customHeight="1" x14ac:dyDescent="0.25">
      <c r="A5" s="25"/>
      <c r="B5" s="40"/>
      <c r="C5" s="28"/>
      <c r="D5" s="28"/>
      <c r="E5" s="29"/>
      <c r="F5" s="28"/>
      <c r="G5" s="28"/>
      <c r="H5" s="28"/>
      <c r="I5" s="29"/>
      <c r="J5"/>
    </row>
    <row r="6" spans="1:10" ht="3.75" customHeight="1" x14ac:dyDescent="0.25">
      <c r="A6" s="25"/>
      <c r="B6" s="40"/>
      <c r="C6" s="28"/>
      <c r="D6" s="28"/>
      <c r="E6" s="28"/>
      <c r="F6" s="28"/>
      <c r="G6" s="28"/>
      <c r="H6" s="28"/>
      <c r="I6" s="29"/>
      <c r="J6"/>
    </row>
    <row r="7" spans="1:10" ht="15" customHeight="1" x14ac:dyDescent="0.25">
      <c r="A7" s="71" t="s">
        <v>184</v>
      </c>
      <c r="B7" s="72"/>
      <c r="C7" s="49"/>
      <c r="D7" s="28"/>
      <c r="E7" s="26" t="s">
        <v>159</v>
      </c>
      <c r="F7" s="30"/>
      <c r="G7" s="26" t="s">
        <v>160</v>
      </c>
      <c r="H7" s="45"/>
      <c r="I7" s="29"/>
      <c r="J7"/>
    </row>
    <row r="8" spans="1:10" ht="3.75" customHeight="1" x14ac:dyDescent="0.25">
      <c r="A8" s="25"/>
      <c r="B8" s="40"/>
      <c r="C8" s="28"/>
      <c r="D8" s="28"/>
      <c r="E8" s="26"/>
      <c r="F8" s="29"/>
      <c r="G8" s="29"/>
      <c r="H8" s="26"/>
      <c r="I8" s="29"/>
      <c r="J8"/>
    </row>
    <row r="9" spans="1:10" ht="15" customHeight="1" x14ac:dyDescent="0.25">
      <c r="A9" s="71" t="s">
        <v>161</v>
      </c>
      <c r="B9" s="72"/>
      <c r="C9" t="s">
        <v>318</v>
      </c>
      <c r="D9" s="28"/>
      <c r="E9" s="26" t="s">
        <v>218</v>
      </c>
      <c r="F9" s="30" t="s">
        <v>216</v>
      </c>
      <c r="G9" s="26" t="s">
        <v>217</v>
      </c>
      <c r="H9" s="30" t="s">
        <v>216</v>
      </c>
      <c r="I9" s="29"/>
      <c r="J9"/>
    </row>
    <row r="10" spans="1:10" ht="3.75" customHeight="1" x14ac:dyDescent="0.25">
      <c r="A10" s="25"/>
      <c r="B10" s="40"/>
      <c r="C10" s="28"/>
      <c r="D10" s="28"/>
      <c r="E10" s="29"/>
      <c r="F10" s="28"/>
      <c r="G10" s="28"/>
      <c r="H10" s="28"/>
      <c r="I10" s="28"/>
      <c r="J10"/>
    </row>
    <row r="11" spans="1:10" ht="15" customHeight="1" x14ac:dyDescent="0.25">
      <c r="A11" s="71" t="s">
        <v>185</v>
      </c>
      <c r="B11" s="72"/>
      <c r="C11" s="44"/>
      <c r="D11" s="31"/>
      <c r="E11" s="31"/>
      <c r="F11" s="31"/>
      <c r="G11" s="31"/>
      <c r="H11" s="31"/>
      <c r="I11" s="32"/>
      <c r="J11"/>
    </row>
    <row r="12" spans="1:10" ht="3.75" customHeight="1" thickBot="1" x14ac:dyDescent="0.3">
      <c r="A12" s="33"/>
      <c r="B12" s="41"/>
      <c r="C12" s="34"/>
      <c r="D12" s="34"/>
      <c r="E12" s="35"/>
      <c r="F12" s="35"/>
      <c r="G12" s="35"/>
      <c r="H12" s="35"/>
      <c r="I12" s="35"/>
      <c r="J12"/>
    </row>
    <row r="13" spans="1:10" ht="15.75" thickBot="1" x14ac:dyDescent="0.3">
      <c r="A13" s="70" t="str">
        <f>CONCATENATE("cd $SH/rmm_32",";","pk_RMM_execProc RMM.cfg RMM_upgradeEnv ",C9)</f>
        <v>cd $SH/rmm_32;pk_RMM_execProc RMM.cfg RMM_upgradeEnv PACK-XXX-XXXX</v>
      </c>
      <c r="B13" s="70"/>
      <c r="C13" s="70"/>
      <c r="D13" s="70"/>
      <c r="E13" s="70"/>
      <c r="F13" s="70"/>
      <c r="G13" s="70"/>
      <c r="H13" s="70"/>
      <c r="I13" s="70"/>
    </row>
    <row r="14" spans="1:10" ht="15" customHeight="1" thickTop="1" x14ac:dyDescent="0.25">
      <c r="A14" s="36" t="s">
        <v>3</v>
      </c>
      <c r="B14" s="62" t="s">
        <v>172</v>
      </c>
      <c r="C14" s="36" t="s">
        <v>6</v>
      </c>
      <c r="D14" s="62" t="s">
        <v>162</v>
      </c>
      <c r="E14" s="62" t="s">
        <v>163</v>
      </c>
      <c r="F14" s="74" t="s">
        <v>8</v>
      </c>
      <c r="G14" s="75"/>
      <c r="H14" s="75"/>
      <c r="I14" s="75"/>
    </row>
    <row r="15" spans="1:10" x14ac:dyDescent="0.25">
      <c r="A15" s="37" t="s">
        <v>202</v>
      </c>
      <c r="B15" s="42" t="s">
        <v>173</v>
      </c>
      <c r="C15" s="37" t="s">
        <v>164</v>
      </c>
      <c r="D15" s="46"/>
      <c r="E15" s="46"/>
      <c r="F15" s="76"/>
      <c r="G15" s="76"/>
      <c r="H15" s="76"/>
      <c r="I15" s="76"/>
    </row>
    <row r="16" spans="1:10" x14ac:dyDescent="0.25">
      <c r="A16" s="37" t="s">
        <v>202</v>
      </c>
      <c r="B16" s="42" t="s">
        <v>173</v>
      </c>
      <c r="C16" s="37" t="s">
        <v>169</v>
      </c>
      <c r="D16" s="46"/>
      <c r="E16" s="37"/>
      <c r="F16" s="76"/>
      <c r="G16" s="76"/>
      <c r="H16" s="76"/>
      <c r="I16" s="76"/>
    </row>
    <row r="17" spans="1:9" x14ac:dyDescent="0.25">
      <c r="A17" s="37" t="s">
        <v>202</v>
      </c>
      <c r="B17" s="42" t="s">
        <v>173</v>
      </c>
      <c r="C17" s="37" t="s">
        <v>165</v>
      </c>
      <c r="D17" s="46"/>
      <c r="E17" s="46"/>
      <c r="F17" s="76"/>
      <c r="G17" s="76"/>
      <c r="H17" s="76"/>
      <c r="I17" s="76"/>
    </row>
    <row r="18" spans="1:9" x14ac:dyDescent="0.25">
      <c r="A18" s="37" t="s">
        <v>202</v>
      </c>
      <c r="B18" s="37" t="s">
        <v>179</v>
      </c>
      <c r="C18" s="37" t="s">
        <v>170</v>
      </c>
      <c r="D18" s="46"/>
      <c r="E18" s="46"/>
      <c r="F18" s="76"/>
      <c r="G18" s="76"/>
      <c r="H18" s="76"/>
      <c r="I18" s="76"/>
    </row>
    <row r="19" spans="1:9" x14ac:dyDescent="0.25">
      <c r="A19" s="37" t="s">
        <v>202</v>
      </c>
      <c r="B19" s="42" t="s">
        <v>174</v>
      </c>
      <c r="C19" s="37" t="str">
        <f>CONCATENATE("Generate the transfer operations on ",F2)</f>
        <v>Generate the transfer operations on From here</v>
      </c>
      <c r="D19" s="46"/>
      <c r="E19" s="46"/>
      <c r="F19" s="76"/>
      <c r="G19" s="76"/>
      <c r="H19" s="76"/>
      <c r="I19" s="76"/>
    </row>
    <row r="20" spans="1:9" x14ac:dyDescent="0.25">
      <c r="A20" s="37" t="s">
        <v>202</v>
      </c>
      <c r="B20" s="42" t="s">
        <v>174</v>
      </c>
      <c r="C20" s="37" t="str">
        <f>CONCATENATE("Check the generated transfer operations for pack ",C11)</f>
        <v xml:space="preserve">Check the generated transfer operations for pack </v>
      </c>
      <c r="D20" s="46"/>
      <c r="E20" s="46"/>
      <c r="F20" s="76"/>
      <c r="G20" s="76"/>
      <c r="H20" s="76"/>
      <c r="I20" s="76"/>
    </row>
    <row r="21" spans="1:9" x14ac:dyDescent="0.25">
      <c r="A21" s="37" t="s">
        <v>202</v>
      </c>
      <c r="B21" s="42" t="s">
        <v>174</v>
      </c>
      <c r="C21" s="37" t="s">
        <v>181</v>
      </c>
      <c r="D21" s="46"/>
      <c r="E21" s="46"/>
      <c r="F21" s="76"/>
      <c r="G21" s="76"/>
      <c r="H21" s="76"/>
      <c r="I21" s="76"/>
    </row>
    <row r="22" spans="1:9" x14ac:dyDescent="0.25">
      <c r="A22" s="37" t="s">
        <v>202</v>
      </c>
      <c r="B22" s="42" t="s">
        <v>174</v>
      </c>
      <c r="C22" s="37" t="s">
        <v>180</v>
      </c>
      <c r="D22" s="46"/>
      <c r="E22" s="46"/>
      <c r="F22" s="76"/>
      <c r="G22" s="76"/>
      <c r="H22" s="76"/>
      <c r="I22" s="76"/>
    </row>
    <row r="23" spans="1:9" x14ac:dyDescent="0.25">
      <c r="A23" s="37" t="s">
        <v>202</v>
      </c>
      <c r="B23" s="42" t="s">
        <v>175</v>
      </c>
      <c r="C23" s="37" t="str">
        <f>CONCATENATE("Add the Synergy tasks to the manual folder of ",H2)</f>
        <v>Add the Synergy tasks to the manual folder of To here</v>
      </c>
      <c r="D23" s="46"/>
      <c r="E23" s="46"/>
      <c r="F23" s="76"/>
      <c r="G23" s="76"/>
      <c r="H23" s="76"/>
      <c r="I23" s="76"/>
    </row>
    <row r="24" spans="1:9" x14ac:dyDescent="0.25">
      <c r="A24" s="37" t="s">
        <v>202</v>
      </c>
      <c r="B24" s="42" t="s">
        <v>175</v>
      </c>
      <c r="C24" s="37" t="str">
        <f>CONCATENATE("Update the Synergy project THALER~",H2)</f>
        <v>Update the Synergy project THALER~To here</v>
      </c>
      <c r="D24" s="46"/>
      <c r="E24" s="46"/>
      <c r="F24" s="76"/>
      <c r="G24" s="76"/>
      <c r="H24" s="76"/>
      <c r="I24" s="76"/>
    </row>
    <row r="25" spans="1:9" x14ac:dyDescent="0.25">
      <c r="A25" s="37" t="s">
        <v>202</v>
      </c>
      <c r="B25" s="42" t="s">
        <v>175</v>
      </c>
      <c r="C25" s="37" t="str">
        <f>CONCATENATE("Detect the conflicts of the Synergy project THALER~",H2)</f>
        <v>Detect the conflicts of the Synergy project THALER~To here</v>
      </c>
      <c r="D25" s="46"/>
      <c r="E25" s="46"/>
      <c r="F25" s="76"/>
      <c r="G25" s="76"/>
      <c r="H25" s="76"/>
      <c r="I25" s="76"/>
    </row>
    <row r="26" spans="1:9" x14ac:dyDescent="0.25">
      <c r="A26" s="37" t="s">
        <v>202</v>
      </c>
      <c r="B26" s="42" t="s">
        <v>175</v>
      </c>
      <c r="C26" s="37" t="str">
        <f>CONCATENATE(" Synchronize the Synergy work area of the project THALER~",H2)</f>
        <v xml:space="preserve"> Synchronize the Synergy work area of the project THALER~To here</v>
      </c>
      <c r="D26" s="46"/>
      <c r="E26" s="46"/>
      <c r="F26" s="76"/>
      <c r="G26" s="76"/>
      <c r="H26" s="76"/>
      <c r="I26" s="76"/>
    </row>
    <row r="27" spans="1:9" x14ac:dyDescent="0.25">
      <c r="A27" s="37" t="s">
        <v>202</v>
      </c>
      <c r="B27" s="42" t="s">
        <v>176</v>
      </c>
      <c r="C27" s="37" t="s">
        <v>182</v>
      </c>
      <c r="D27" s="46"/>
      <c r="E27" s="46"/>
      <c r="F27" s="76"/>
      <c r="G27" s="76"/>
      <c r="H27" s="76"/>
      <c r="I27" s="76"/>
    </row>
    <row r="28" spans="1:9" x14ac:dyDescent="0.25">
      <c r="A28" s="37" t="s">
        <v>202</v>
      </c>
      <c r="B28" s="42" t="s">
        <v>177</v>
      </c>
      <c r="C28" s="37" t="s">
        <v>183</v>
      </c>
      <c r="D28" s="46"/>
      <c r="E28" s="46"/>
      <c r="F28" s="76"/>
      <c r="G28" s="76"/>
      <c r="H28" s="76"/>
      <c r="I28" s="76"/>
    </row>
    <row r="29" spans="1:9" x14ac:dyDescent="0.25">
      <c r="A29" s="37" t="s">
        <v>202</v>
      </c>
      <c r="B29" s="42" t="s">
        <v>177</v>
      </c>
      <c r="C29" s="37" t="str">
        <f>CONCATENATE("Execute the 'P' transfers of the TOS ",C11," on the master BES")</f>
        <v>Execute the 'P' transfers of the TOS  on the master BES</v>
      </c>
      <c r="D29" s="46"/>
      <c r="E29" s="46"/>
      <c r="F29" s="76"/>
      <c r="G29" s="76"/>
      <c r="H29" s="76"/>
      <c r="I29" s="76"/>
    </row>
    <row r="30" spans="1:9" x14ac:dyDescent="0.25">
      <c r="A30" s="37" t="s">
        <v>202</v>
      </c>
      <c r="B30" s="42" t="s">
        <v>177</v>
      </c>
      <c r="C30" s="37" t="str">
        <f>CONCATENATE("Detect membership conflicts of the TOS '",C9,"' using the Flattening")</f>
        <v>Detect membership conflicts of the TOS 'PACK-XXX-XXXX' using the Flattening</v>
      </c>
      <c r="D30" s="46"/>
      <c r="E30" s="46"/>
      <c r="F30" s="76"/>
      <c r="G30" s="76"/>
      <c r="H30" s="76"/>
      <c r="I30" s="76"/>
    </row>
    <row r="31" spans="1:9" x14ac:dyDescent="0.25">
      <c r="A31" s="37" t="s">
        <v>202</v>
      </c>
      <c r="B31" s="42" t="s">
        <v>175</v>
      </c>
      <c r="C31" s="37" t="str">
        <f>CONCATENATE("Deploy the Synergy tasks on project THALER~",H2)</f>
        <v>Deploy the Synergy tasks on project THALER~To here</v>
      </c>
      <c r="D31" s="46"/>
      <c r="E31" s="46"/>
      <c r="F31" s="76"/>
      <c r="G31" s="76"/>
      <c r="H31" s="76"/>
      <c r="I31" s="76"/>
    </row>
    <row r="32" spans="1:9" ht="21" customHeight="1" x14ac:dyDescent="0.25">
      <c r="A32" s="37" t="s">
        <v>202</v>
      </c>
      <c r="B32" s="42" t="s">
        <v>176</v>
      </c>
      <c r="C32" s="37" t="str">
        <f>CONCATENATE("Compare all templates before their deployment into the projects of ",H2)</f>
        <v>Compare all templates before their deployment into the projects of To here</v>
      </c>
      <c r="D32" s="46"/>
      <c r="E32" s="46"/>
      <c r="F32" s="76"/>
      <c r="G32" s="76"/>
      <c r="H32" s="76"/>
      <c r="I32" s="76"/>
    </row>
    <row r="33" spans="1:9" x14ac:dyDescent="0.25">
      <c r="A33" s="37" t="s">
        <v>202</v>
      </c>
      <c r="B33" s="42" t="s">
        <v>176</v>
      </c>
      <c r="C33" s="37" t="str">
        <f>CONCATENATE("Deploy the configuration files into the projects of ",H2)</f>
        <v>Deploy the configuration files into the projects of To here</v>
      </c>
      <c r="D33" s="46"/>
      <c r="E33" s="46"/>
      <c r="F33" s="76"/>
      <c r="G33" s="76"/>
      <c r="H33" s="76"/>
      <c r="I33" s="76"/>
    </row>
    <row r="34" spans="1:9" x14ac:dyDescent="0.25">
      <c r="A34" s="37" t="s">
        <v>202</v>
      </c>
      <c r="B34" s="42" t="s">
        <v>177</v>
      </c>
      <c r="C34" s="37" t="str">
        <f>CONCATENATE("Execute the 'P/D' orders of the TOS '",C9,"' on the master BES")</f>
        <v>Execute the 'P/D' orders of the TOS 'PACK-XXX-XXXX' on the master BES</v>
      </c>
      <c r="D34" s="46"/>
      <c r="E34" s="46"/>
      <c r="F34" s="76"/>
      <c r="G34" s="76"/>
      <c r="H34" s="76"/>
      <c r="I34" s="76"/>
    </row>
    <row r="35" spans="1:9" x14ac:dyDescent="0.25">
      <c r="A35" s="37" t="s">
        <v>202</v>
      </c>
      <c r="B35" s="42" t="s">
        <v>177</v>
      </c>
      <c r="C35" s="37" t="str">
        <f>CONCATENATE("Execute the 'H' orders of the TOS '",C9,"' on the master BES")</f>
        <v>Execute the 'H' orders of the TOS 'PACK-XXX-XXXX' on the master BES</v>
      </c>
      <c r="D35" s="46"/>
      <c r="E35" s="46"/>
      <c r="F35" s="76"/>
      <c r="G35" s="76"/>
      <c r="H35" s="76"/>
      <c r="I35" s="76"/>
    </row>
    <row r="36" spans="1:9" x14ac:dyDescent="0.25">
      <c r="A36" s="37" t="s">
        <v>202</v>
      </c>
      <c r="B36" s="42" t="s">
        <v>177</v>
      </c>
      <c r="C36" s="37" t="str">
        <f>CONCATENATE("Execute the 'U/B' orders of the TOS '",C9,"' on the master BES")</f>
        <v>Execute the 'U/B' orders of the TOS 'PACK-XXX-XXXX' on the master BES</v>
      </c>
      <c r="D36" s="46"/>
      <c r="E36" s="46"/>
      <c r="F36" s="76"/>
      <c r="G36" s="76"/>
      <c r="H36" s="76"/>
      <c r="I36" s="76"/>
    </row>
    <row r="37" spans="1:9" x14ac:dyDescent="0.25">
      <c r="A37" s="37" t="s">
        <v>202</v>
      </c>
      <c r="B37" s="42" t="s">
        <v>177</v>
      </c>
      <c r="C37" s="37" t="str">
        <f>CONCATENATE("Execute the 'T/O' orders of the TOS '",C9,"' on the master BES")</f>
        <v>Execute the 'T/O' orders of the TOS 'PACK-XXX-XXXX' on the master BES</v>
      </c>
      <c r="D37" s="46"/>
      <c r="E37" s="46"/>
      <c r="F37" s="76"/>
      <c r="G37" s="76"/>
      <c r="H37" s="76"/>
      <c r="I37" s="76"/>
    </row>
    <row r="38" spans="1:9" x14ac:dyDescent="0.25">
      <c r="A38" s="37" t="s">
        <v>202</v>
      </c>
      <c r="B38" s="42" t="s">
        <v>177</v>
      </c>
      <c r="C38" s="37" t="str">
        <f>CONCATENATE("Execute the 'A' orders of the TOS '",C9,"' on the master BES")</f>
        <v>Execute the 'A' orders of the TOS 'PACK-XXX-XXXX' on the master BES</v>
      </c>
      <c r="D38" s="46"/>
      <c r="E38" s="46"/>
      <c r="F38" s="76"/>
      <c r="G38" s="76"/>
      <c r="H38" s="76"/>
      <c r="I38" s="76"/>
    </row>
    <row r="39" spans="1:9" x14ac:dyDescent="0.25">
      <c r="A39" s="37" t="s">
        <v>202</v>
      </c>
      <c r="B39" s="42" t="s">
        <v>176</v>
      </c>
      <c r="C39" s="37" t="s">
        <v>186</v>
      </c>
      <c r="D39" s="46"/>
      <c r="E39" s="46"/>
      <c r="F39" s="76"/>
      <c r="G39" s="76"/>
      <c r="H39" s="76"/>
      <c r="I39" s="76"/>
    </row>
    <row r="40" spans="1:9" x14ac:dyDescent="0.25">
      <c r="A40" s="37" t="s">
        <v>202</v>
      </c>
      <c r="B40" s="42" t="s">
        <v>178</v>
      </c>
      <c r="C40" s="37" t="str">
        <f>CONCATENATE("Build the V2 environment of ",H2)</f>
        <v>Build the V2 environment of To here</v>
      </c>
      <c r="D40" s="46"/>
      <c r="E40" s="46"/>
      <c r="F40" s="76"/>
      <c r="G40" s="76"/>
      <c r="H40" s="76"/>
      <c r="I40" s="76"/>
    </row>
    <row r="41" spans="1:9" x14ac:dyDescent="0.25">
      <c r="A41" s="37" t="s">
        <v>202</v>
      </c>
      <c r="B41" s="42" t="s">
        <v>177</v>
      </c>
      <c r="C41" s="37" t="str">
        <f>CONCATENATE("Execute the 'C' orders of the TOS '",C9,"' on the master BES")</f>
        <v>Execute the 'C' orders of the TOS 'PACK-XXX-XXXX' on the master BES</v>
      </c>
      <c r="D41" s="46"/>
      <c r="E41" s="46"/>
      <c r="F41" s="76"/>
      <c r="G41" s="76"/>
      <c r="H41" s="76"/>
      <c r="I41" s="76"/>
    </row>
    <row r="42" spans="1:9" x14ac:dyDescent="0.25">
      <c r="A42" s="37" t="s">
        <v>202</v>
      </c>
      <c r="B42" s="42" t="s">
        <v>176</v>
      </c>
      <c r="C42" s="37" t="s">
        <v>187</v>
      </c>
      <c r="D42" s="46"/>
      <c r="E42" s="46"/>
      <c r="F42" s="76"/>
      <c r="G42" s="76"/>
      <c r="H42" s="76"/>
      <c r="I42" s="76"/>
    </row>
    <row r="43" spans="1:9" x14ac:dyDescent="0.25">
      <c r="A43" s="37" t="s">
        <v>202</v>
      </c>
      <c r="B43" s="42" t="s">
        <v>179</v>
      </c>
      <c r="C43" s="37" t="s">
        <v>171</v>
      </c>
      <c r="D43" s="46"/>
      <c r="E43" s="46"/>
      <c r="F43" s="76"/>
      <c r="G43" s="76"/>
      <c r="H43" s="76"/>
      <c r="I43" s="76"/>
    </row>
    <row r="44" spans="1:9" x14ac:dyDescent="0.25">
      <c r="A44" s="37" t="s">
        <v>202</v>
      </c>
      <c r="B44" s="42" t="s">
        <v>179</v>
      </c>
      <c r="C44" s="37" t="s">
        <v>170</v>
      </c>
      <c r="D44" s="46"/>
      <c r="E44" s="46"/>
      <c r="F44" s="76"/>
      <c r="G44" s="76"/>
      <c r="H44" s="76"/>
      <c r="I44" s="76"/>
    </row>
    <row r="45" spans="1:9" x14ac:dyDescent="0.25">
      <c r="G45" s="43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F44:I44"/>
    <mergeCell ref="F39:I39"/>
    <mergeCell ref="F40:I40"/>
    <mergeCell ref="F41:I41"/>
    <mergeCell ref="F42:I42"/>
    <mergeCell ref="F43:I4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33:I33"/>
    <mergeCell ref="F24:I24"/>
    <mergeCell ref="F25:I25"/>
    <mergeCell ref="F26:I26"/>
    <mergeCell ref="F27:I27"/>
    <mergeCell ref="F28:I28"/>
    <mergeCell ref="F19:I19"/>
    <mergeCell ref="F20:I20"/>
    <mergeCell ref="F21:I21"/>
    <mergeCell ref="F22:I22"/>
    <mergeCell ref="F23:I23"/>
    <mergeCell ref="F14:I14"/>
    <mergeCell ref="F15:I15"/>
    <mergeCell ref="F16:I16"/>
    <mergeCell ref="F17:I17"/>
    <mergeCell ref="F18:I18"/>
    <mergeCell ref="A13:I13"/>
    <mergeCell ref="A2:B2"/>
    <mergeCell ref="A7:B7"/>
    <mergeCell ref="A9:B9"/>
    <mergeCell ref="A11:B11"/>
    <mergeCell ref="A4:B4"/>
  </mergeCells>
  <conditionalFormatting sqref="E16:E17 D15:F15 F16:F44">
    <cfRule type="expression" dxfId="329" priority="573">
      <formula>$D15="[ Bypassed ]"</formula>
    </cfRule>
    <cfRule type="expression" dxfId="328" priority="574">
      <formula>$D15="[ Done         ]"</formula>
    </cfRule>
    <cfRule type="expression" dxfId="327" priority="575">
      <formula>$D15="[ Pending… ]"</formula>
    </cfRule>
    <cfRule type="expression" dxfId="326" priority="576">
      <formula>$D15="[ To do        ]"</formula>
    </cfRule>
  </conditionalFormatting>
  <conditionalFormatting sqref="E19">
    <cfRule type="expression" dxfId="325" priority="501">
      <formula>$D19="[ Bypassed ]"</formula>
    </cfRule>
    <cfRule type="expression" dxfId="324" priority="502">
      <formula>$D19="[ Done         ]"</formula>
    </cfRule>
    <cfRule type="expression" dxfId="323" priority="503">
      <formula>$D19="[ Pending… ]"</formula>
    </cfRule>
    <cfRule type="expression" dxfId="322" priority="504">
      <formula>$D19="[ To do        ]"</formula>
    </cfRule>
  </conditionalFormatting>
  <conditionalFormatting sqref="E20">
    <cfRule type="expression" dxfId="321" priority="497">
      <formula>$D20="[ Bypassed ]"</formula>
    </cfRule>
    <cfRule type="expression" dxfId="320" priority="498">
      <formula>$D20="[ Done         ]"</formula>
    </cfRule>
    <cfRule type="expression" dxfId="319" priority="499">
      <formula>$D20="[ Pending… ]"</formula>
    </cfRule>
    <cfRule type="expression" dxfId="318" priority="500">
      <formula>$D20="[ To do        ]"</formula>
    </cfRule>
  </conditionalFormatting>
  <conditionalFormatting sqref="E39">
    <cfRule type="expression" dxfId="317" priority="473">
      <formula>$D39="[ Bypassed ]"</formula>
    </cfRule>
    <cfRule type="expression" dxfId="316" priority="474">
      <formula>$D39="[ Done         ]"</formula>
    </cfRule>
    <cfRule type="expression" dxfId="315" priority="475">
      <formula>$D39="[ Pending… ]"</formula>
    </cfRule>
    <cfRule type="expression" dxfId="314" priority="476">
      <formula>$D39="[ To do        ]"</formula>
    </cfRule>
  </conditionalFormatting>
  <conditionalFormatting sqref="E40">
    <cfRule type="expression" dxfId="313" priority="449">
      <formula>$D40="[ Bypassed ]"</formula>
    </cfRule>
    <cfRule type="expression" dxfId="312" priority="450">
      <formula>$D40="[ Done         ]"</formula>
    </cfRule>
    <cfRule type="expression" dxfId="311" priority="451">
      <formula>$D40="[ Pending… ]"</formula>
    </cfRule>
    <cfRule type="expression" dxfId="310" priority="452">
      <formula>$D40="[ To do        ]"</formula>
    </cfRule>
  </conditionalFormatting>
  <conditionalFormatting sqref="D15:D17 D20:D21 D23:E26 D23:D29 D34:E35 D34:D44">
    <cfRule type="expression" dxfId="309" priority="333">
      <formula>$D15="[ Bypassed ]"</formula>
    </cfRule>
    <cfRule type="expression" dxfId="308" priority="334">
      <formula>$D15="[ Done         ]"</formula>
    </cfRule>
    <cfRule type="expression" dxfId="307" priority="335">
      <formula>$D15="[ Pending… ]"</formula>
    </cfRule>
    <cfRule type="expression" dxfId="306" priority="336">
      <formula>$D15="[ To do        ]"</formula>
    </cfRule>
  </conditionalFormatting>
  <conditionalFormatting sqref="D40">
    <cfRule type="expression" dxfId="305" priority="321">
      <formula>$D40="[ Bypassed ]"</formula>
    </cfRule>
    <cfRule type="expression" dxfId="304" priority="322">
      <formula>$D40="[ Done         ]"</formula>
    </cfRule>
    <cfRule type="expression" dxfId="303" priority="323">
      <formula>$D40="[ Pending… ]"</formula>
    </cfRule>
    <cfRule type="expression" dxfId="302" priority="324">
      <formula>$D40="[ To do        ]"</formula>
    </cfRule>
  </conditionalFormatting>
  <conditionalFormatting sqref="D19">
    <cfRule type="expression" dxfId="301" priority="197">
      <formula>$D19="[ Bypassed ]"</formula>
    </cfRule>
    <cfRule type="expression" dxfId="300" priority="198">
      <formula>$D19="[ Done         ]"</formula>
    </cfRule>
    <cfRule type="expression" dxfId="299" priority="199">
      <formula>$D19="[ Pending… ]"</formula>
    </cfRule>
    <cfRule type="expression" dxfId="298" priority="200">
      <formula>$D19="[ To do        ]"</formula>
    </cfRule>
  </conditionalFormatting>
  <conditionalFormatting sqref="E19">
    <cfRule type="expression" dxfId="297" priority="193">
      <formula>$D19="[ Bypassed ]"</formula>
    </cfRule>
    <cfRule type="expression" dxfId="296" priority="194">
      <formula>$D19="[ Done         ]"</formula>
    </cfRule>
    <cfRule type="expression" dxfId="295" priority="195">
      <formula>$D19="[ Pending… ]"</formula>
    </cfRule>
    <cfRule type="expression" dxfId="294" priority="196">
      <formula>$D19="[ To do        ]"</formula>
    </cfRule>
  </conditionalFormatting>
  <conditionalFormatting sqref="D18:E18">
    <cfRule type="expression" dxfId="293" priority="181">
      <formula>$D18="[ Bypassed ]"</formula>
    </cfRule>
    <cfRule type="expression" dxfId="292" priority="182">
      <formula>$D18="[ Done         ]"</formula>
    </cfRule>
    <cfRule type="expression" dxfId="291" priority="183">
      <formula>$D18="[ Pending… ]"</formula>
    </cfRule>
    <cfRule type="expression" dxfId="290" priority="184">
      <formula>$D18="[ To do        ]"</formula>
    </cfRule>
  </conditionalFormatting>
  <conditionalFormatting sqref="E21">
    <cfRule type="expression" dxfId="289" priority="169">
      <formula>$D21="[ Bypassed ]"</formula>
    </cfRule>
    <cfRule type="expression" dxfId="288" priority="170">
      <formula>$D21="[ Done         ]"</formula>
    </cfRule>
    <cfRule type="expression" dxfId="287" priority="171">
      <formula>$D21="[ Pending… ]"</formula>
    </cfRule>
    <cfRule type="expression" dxfId="286" priority="172">
      <formula>$D21="[ To do        ]"</formula>
    </cfRule>
  </conditionalFormatting>
  <conditionalFormatting sqref="D22">
    <cfRule type="expression" dxfId="285" priority="157">
      <formula>$D22="[ Bypassed ]"</formula>
    </cfRule>
    <cfRule type="expression" dxfId="284" priority="158">
      <formula>$D22="[ Done         ]"</formula>
    </cfRule>
    <cfRule type="expression" dxfId="283" priority="159">
      <formula>$D22="[ Pending… ]"</formula>
    </cfRule>
    <cfRule type="expression" dxfId="282" priority="160">
      <formula>$D22="[ To do        ]"</formula>
    </cfRule>
  </conditionalFormatting>
  <conditionalFormatting sqref="E22">
    <cfRule type="expression" dxfId="281" priority="145">
      <formula>$D22="[ Bypassed ]"</formula>
    </cfRule>
    <cfRule type="expression" dxfId="280" priority="146">
      <formula>$D22="[ Done         ]"</formula>
    </cfRule>
    <cfRule type="expression" dxfId="279" priority="147">
      <formula>$D22="[ Pending… ]"</formula>
    </cfRule>
    <cfRule type="expression" dxfId="278" priority="148">
      <formula>$D22="[ To do        ]"</formula>
    </cfRule>
  </conditionalFormatting>
  <conditionalFormatting sqref="E27:E28">
    <cfRule type="expression" dxfId="277" priority="133">
      <formula>$D27="[ Bypassed ]"</formula>
    </cfRule>
    <cfRule type="expression" dxfId="276" priority="134">
      <formula>$D27="[ Done         ]"</formula>
    </cfRule>
    <cfRule type="expression" dxfId="275" priority="135">
      <formula>$D27="[ Pending… ]"</formula>
    </cfRule>
    <cfRule type="expression" dxfId="274" priority="136">
      <formula>$D27="[ To do        ]"</formula>
    </cfRule>
  </conditionalFormatting>
  <conditionalFormatting sqref="D31">
    <cfRule type="expression" dxfId="273" priority="121">
      <formula>$D31="[ Bypassed ]"</formula>
    </cfRule>
    <cfRule type="expression" dxfId="272" priority="122">
      <formula>$D31="[ Done         ]"</formula>
    </cfRule>
    <cfRule type="expression" dxfId="271" priority="123">
      <formula>$D31="[ Pending… ]"</formula>
    </cfRule>
    <cfRule type="expression" dxfId="270" priority="124">
      <formula>$D31="[ To do        ]"</formula>
    </cfRule>
  </conditionalFormatting>
  <conditionalFormatting sqref="E31">
    <cfRule type="expression" dxfId="269" priority="109">
      <formula>$D31="[ Bypassed ]"</formula>
    </cfRule>
    <cfRule type="expression" dxfId="268" priority="110">
      <formula>$D31="[ Done         ]"</formula>
    </cfRule>
    <cfRule type="expression" dxfId="267" priority="111">
      <formula>$D31="[ Pending… ]"</formula>
    </cfRule>
    <cfRule type="expression" dxfId="266" priority="112">
      <formula>$D31="[ To do        ]"</formula>
    </cfRule>
  </conditionalFormatting>
  <conditionalFormatting sqref="D32">
    <cfRule type="expression" dxfId="265" priority="97">
      <formula>$D32="[ Bypassed ]"</formula>
    </cfRule>
    <cfRule type="expression" dxfId="264" priority="98">
      <formula>$D32="[ Done         ]"</formula>
    </cfRule>
    <cfRule type="expression" dxfId="263" priority="99">
      <formula>$D32="[ Pending… ]"</formula>
    </cfRule>
    <cfRule type="expression" dxfId="262" priority="100">
      <formula>$D32="[ To do        ]"</formula>
    </cfRule>
  </conditionalFormatting>
  <conditionalFormatting sqref="E32">
    <cfRule type="expression" dxfId="261" priority="85">
      <formula>$D32="[ Bypassed ]"</formula>
    </cfRule>
    <cfRule type="expression" dxfId="260" priority="86">
      <formula>$D32="[ Done         ]"</formula>
    </cfRule>
    <cfRule type="expression" dxfId="259" priority="87">
      <formula>$D32="[ Pending… ]"</formula>
    </cfRule>
    <cfRule type="expression" dxfId="258" priority="88">
      <formula>$D32="[ To do        ]"</formula>
    </cfRule>
  </conditionalFormatting>
  <conditionalFormatting sqref="D33">
    <cfRule type="expression" dxfId="257" priority="73">
      <formula>$D33="[ Bypassed ]"</formula>
    </cfRule>
    <cfRule type="expression" dxfId="256" priority="74">
      <formula>$D33="[ Done         ]"</formula>
    </cfRule>
    <cfRule type="expression" dxfId="255" priority="75">
      <formula>$D33="[ Pending… ]"</formula>
    </cfRule>
    <cfRule type="expression" dxfId="254" priority="76">
      <formula>$D33="[ To do        ]"</formula>
    </cfRule>
  </conditionalFormatting>
  <conditionalFormatting sqref="E33">
    <cfRule type="expression" dxfId="253" priority="61">
      <formula>$D33="[ Bypassed ]"</formula>
    </cfRule>
    <cfRule type="expression" dxfId="252" priority="62">
      <formula>$D33="[ Done         ]"</formula>
    </cfRule>
    <cfRule type="expression" dxfId="251" priority="63">
      <formula>$D33="[ Pending… ]"</formula>
    </cfRule>
    <cfRule type="expression" dxfId="250" priority="64">
      <formula>$D33="[ To do        ]"</formula>
    </cfRule>
  </conditionalFormatting>
  <conditionalFormatting sqref="D41:E42">
    <cfRule type="expression" dxfId="249" priority="45">
      <formula>$D41="[ Bypassed ]"</formula>
    </cfRule>
    <cfRule type="expression" dxfId="248" priority="46">
      <formula>$D41="[ Done         ]"</formula>
    </cfRule>
    <cfRule type="expression" dxfId="247" priority="47">
      <formula>$D41="[ Pending… ]"</formula>
    </cfRule>
    <cfRule type="expression" dxfId="246" priority="48">
      <formula>$D41="[ To do        ]"</formula>
    </cfRule>
  </conditionalFormatting>
  <conditionalFormatting sqref="D43:D44">
    <cfRule type="expression" dxfId="245" priority="37">
      <formula>$D43="[ Bypassed ]"</formula>
    </cfRule>
    <cfRule type="expression" dxfId="244" priority="38">
      <formula>$D43="[ Done         ]"</formula>
    </cfRule>
    <cfRule type="expression" dxfId="243" priority="39">
      <formula>$D43="[ Pending… ]"</formula>
    </cfRule>
    <cfRule type="expression" dxfId="242" priority="40">
      <formula>$D43="[ To do        ]"</formula>
    </cfRule>
  </conditionalFormatting>
  <conditionalFormatting sqref="E43">
    <cfRule type="expression" dxfId="241" priority="29">
      <formula>$D43="[ Bypassed ]"</formula>
    </cfRule>
    <cfRule type="expression" dxfId="240" priority="30">
      <formula>$D43="[ Done         ]"</formula>
    </cfRule>
    <cfRule type="expression" dxfId="239" priority="31">
      <formula>$D43="[ Pending… ]"</formula>
    </cfRule>
    <cfRule type="expression" dxfId="238" priority="32">
      <formula>$D43="[ To do        ]"</formula>
    </cfRule>
  </conditionalFormatting>
  <conditionalFormatting sqref="E44">
    <cfRule type="expression" dxfId="237" priority="21">
      <formula>$D44="[ Bypassed ]"</formula>
    </cfRule>
    <cfRule type="expression" dxfId="236" priority="22">
      <formula>$D44="[ Done         ]"</formula>
    </cfRule>
    <cfRule type="expression" dxfId="235" priority="23">
      <formula>$D44="[ Pending… ]"</formula>
    </cfRule>
    <cfRule type="expression" dxfId="234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" id="{22D81CDE-15A1-4650-8653-D06295FCFC6F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</x14:conditionalFormattings>
    </ext>
    <ext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4"/>
  <sheetViews>
    <sheetView zoomScale="85" zoomScaleNormal="85" workbookViewId="0">
      <selection activeCell="B14" sqref="B14"/>
    </sheetView>
  </sheetViews>
  <sheetFormatPr defaultRowHeight="15" x14ac:dyDescent="0.25"/>
  <cols>
    <col min="1" max="1" bestFit="true" customWidth="true" width="33.140625" collapsed="true"/>
    <col min="2" max="2" bestFit="true" customWidth="true" width="117.28515625" collapsed="true"/>
    <col min="3" max="3" customWidth="true" width="63.28515625" collapsed="true"/>
    <col min="4" max="4" bestFit="true" customWidth="true" width="29.28515625" collapsed="true"/>
  </cols>
  <sheetData>
    <row r="1" spans="1:3" ht="20.25" thickBot="1" x14ac:dyDescent="0.35">
      <c r="A1" s="54" t="s">
        <v>213</v>
      </c>
      <c r="B1" s="55"/>
      <c r="C1" s="56" t="s">
        <v>166</v>
      </c>
    </row>
    <row r="2" spans="1:3" ht="15.75" thickTop="1" x14ac:dyDescent="0.25">
      <c r="A2" s="57"/>
      <c r="B2" s="5" t="s">
        <v>212</v>
      </c>
      <c r="C2" s="58" t="str">
        <f>CONCATENATE("select synpat, refpat ,ittpat, stapat, nomenv, nomgrp, typevl from ysw06 where refpat in ('",B1,"');")</f>
        <v>select synpat, refpat ,ittpat, stapat, nomenv, nomgrp, typevl from ysw06 where refpat in ('');</v>
      </c>
    </row>
    <row r="3" spans="1:3" x14ac:dyDescent="0.25">
      <c r="A3" s="57"/>
      <c r="B3" s="5" t="s">
        <v>214</v>
      </c>
      <c r="C3" s="58" t="str">
        <f>CONCATENATE("select refmai ,ordopn, numstp ,typopn, swiman, vernum ,swimlt ,swichk ,ittcmd, nommbr, typmbr from ypd23_syn where refmai in ('",B1,"');")</f>
        <v>select refmai ,ordopn, numstp ,typopn, swiman, vernum ,swimlt ,swichk ,ittcmd, nommbr, typmbr from ypd23_syn where refmai in ('');</v>
      </c>
    </row>
    <row r="4" spans="1:3" x14ac:dyDescent="0.25">
      <c r="A4" s="57"/>
      <c r="B4" s="48" t="s">
        <v>215</v>
      </c>
      <c r="C4" s="58" t="str">
        <f>CONCATENATE("select refmai ,ordopn ,stpall, numstp, typopn ,swiman, vernum, swimlt, swichk ,ittcmd, nommbr, typmbr from yfd07 where reflot='",Summary!C11,"';")</f>
        <v>select refmai ,ordopn ,stpall, numstp, typopn ,swiman, vernum, swimlt, swichk ,ittcmd, nommbr, typmbr from yfd07 where reflot='';</v>
      </c>
    </row>
    <row r="5" spans="1:3" x14ac:dyDescent="0.25">
      <c r="A5" s="57"/>
      <c r="B5" s="5"/>
      <c r="C5" s="58"/>
    </row>
    <row r="6" spans="1:3" x14ac:dyDescent="0.25">
      <c r="A6" s="57"/>
      <c r="B6" s="5"/>
      <c r="C6" s="58"/>
    </row>
    <row r="7" spans="1:3" x14ac:dyDescent="0.25">
      <c r="A7" s="57"/>
      <c r="B7" s="5"/>
      <c r="C7" s="58"/>
    </row>
    <row r="8" spans="1:3" x14ac:dyDescent="0.25">
      <c r="A8" s="57"/>
      <c r="B8" s="5"/>
      <c r="C8" s="58"/>
    </row>
    <row r="9" spans="1:3" x14ac:dyDescent="0.25">
      <c r="A9" s="57"/>
      <c r="B9" s="5"/>
      <c r="C9" s="58"/>
    </row>
    <row r="10" spans="1:3" x14ac:dyDescent="0.25">
      <c r="A10" s="57"/>
      <c r="B10" s="5"/>
      <c r="C10" s="58"/>
    </row>
    <row r="11" spans="1:3" x14ac:dyDescent="0.25">
      <c r="A11" s="57"/>
      <c r="B11" s="5"/>
      <c r="C11" s="58"/>
    </row>
    <row r="12" spans="1:3" x14ac:dyDescent="0.25">
      <c r="A12" s="57"/>
      <c r="B12" s="5"/>
      <c r="C12" s="58"/>
    </row>
    <row r="13" spans="1:3" x14ac:dyDescent="0.25">
      <c r="A13" s="57"/>
      <c r="B13" s="5"/>
      <c r="C13" s="58"/>
    </row>
    <row r="14" spans="1:3" ht="15.75" thickBot="1" x14ac:dyDescent="0.3">
      <c r="A14" s="59"/>
      <c r="B14" s="60"/>
      <c r="C14" s="6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9" width="48.5703125" collapsed="true"/>
    <col min="2" max="2" bestFit="true" customWidth="true" style="2" width="9.7109375" collapsed="true"/>
    <col min="3" max="3" bestFit="true" customWidth="true" style="2" width="8.5703125" collapsed="true"/>
    <col min="4" max="4" bestFit="true" customWidth="true" style="2" width="15.0" collapsed="true"/>
    <col min="5" max="5" bestFit="true" customWidth="true" style="2" width="8.0" collapsed="true"/>
    <col min="6" max="6" bestFit="true" customWidth="true" style="2" width="39.0" collapsed="true"/>
    <col min="7" max="7" bestFit="true" customWidth="true" style="2" width="17.7109375" collapsed="true"/>
    <col min="8" max="10" bestFit="true" customWidth="true" style="2" width="255.7109375" collapsed="true"/>
    <col min="11" max="11" bestFit="true" customWidth="true" style="2" width="18.28515625" collapsed="true"/>
    <col min="12" max="16384" style="2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2"/>
    </row>
    <row r="2" spans="1:12" s="19" customFormat="1" ht="15.75" thickTop="1" x14ac:dyDescent="0.25"/>
    <row r="3" spans="1:12" s="19" customFormat="1" x14ac:dyDescent="0.25"/>
    <row r="4" spans="1:12" s="19" customFormat="1" x14ac:dyDescent="0.25"/>
    <row r="5" spans="1:12" s="19" customFormat="1" x14ac:dyDescent="0.25"/>
    <row r="6" spans="1:12" s="19" customFormat="1" x14ac:dyDescent="0.25"/>
    <row r="7" spans="1:12" s="19" customFormat="1" x14ac:dyDescent="0.25"/>
    <row r="8" spans="1:12" s="19" customFormat="1" x14ac:dyDescent="0.25"/>
    <row r="9" spans="1:12" s="19" customFormat="1" x14ac:dyDescent="0.25"/>
    <row r="10" spans="1:12" s="19" customFormat="1" x14ac:dyDescent="0.25"/>
    <row r="11" spans="1:12" s="19" customFormat="1" x14ac:dyDescent="0.25"/>
    <row r="12" spans="1:12" s="19" customFormat="1" x14ac:dyDescent="0.25"/>
    <row r="13" spans="1:12" s="19" customFormat="1" x14ac:dyDescent="0.25"/>
    <row r="14" spans="1:12" s="19" customFormat="1" x14ac:dyDescent="0.25"/>
    <row r="15" spans="1:12" s="19" customFormat="1" x14ac:dyDescent="0.25"/>
    <row r="16" spans="1:12" s="19" customFormat="1" x14ac:dyDescent="0.25"/>
    <row r="17" s="19" customFormat="1" x14ac:dyDescent="0.25"/>
    <row r="18" s="19" customForma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tabSelected="1" zoomScale="80" zoomScaleNormal="80" workbookViewId="0">
      <selection activeCell="I23" sqref="I23"/>
    </sheetView>
  </sheetViews>
  <sheetFormatPr defaultRowHeight="15" x14ac:dyDescent="0.25"/>
  <cols>
    <col min="1" max="1" bestFit="true" customWidth="true" width="7.5703125" collapsed="true"/>
    <col min="3" max="4" customWidth="true" width="11.0" collapsed="true"/>
    <col min="5" max="5" customWidth="true" width="12.85546875" collapsed="true"/>
    <col min="6" max="6" customWidth="true" width="52.5703125" collapsed="true"/>
  </cols>
  <sheetData>
    <row r="1" spans="1:6" ht="16.5" thickTop="1" thickBot="1" x14ac:dyDescent="0.3">
      <c r="A1" s="63" t="s">
        <v>293</v>
      </c>
      <c r="B1" s="63" t="s">
        <v>294</v>
      </c>
      <c r="C1" s="63" t="s">
        <v>295</v>
      </c>
      <c r="D1" s="63" t="s">
        <v>296</v>
      </c>
      <c r="E1" s="63" t="s">
        <v>297</v>
      </c>
      <c r="F1" s="64" t="s">
        <v>298</v>
      </c>
    </row>
    <row r="2">
      <c r="A2" t="s">
        <v>322</v>
      </c>
      <c r="B2" t="s">
        <v>323</v>
      </c>
      <c r="C2" t="s">
        <v>324</v>
      </c>
      <c r="D2" t="s">
        <v>325</v>
      </c>
      <c r="E2"/>
      <c r="F2" t="s">
        <v>326</v>
      </c>
    </row>
  </sheetData>
  <autoFilter ref="A1:F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80" zoomScaleNormal="80" workbookViewId="0">
      <selection sqref="A1:F1"/>
    </sheetView>
  </sheetViews>
  <sheetFormatPr defaultRowHeight="15" x14ac:dyDescent="0.25"/>
  <cols>
    <col min="2" max="2" customWidth="true" width="40.42578125" collapsed="true"/>
    <col min="5" max="5" customWidth="true" width="11.28515625" collapsed="true"/>
    <col min="6" max="6" customWidth="true" width="9.5703125" collapsed="true"/>
  </cols>
  <sheetData>
    <row r="1" spans="1:6" ht="16.5" thickTop="1" thickBot="1" x14ac:dyDescent="0.3">
      <c r="A1" s="63" t="s">
        <v>293</v>
      </c>
      <c r="B1" s="63" t="s">
        <v>299</v>
      </c>
      <c r="C1" s="63" t="s">
        <v>300</v>
      </c>
      <c r="D1" s="63" t="s">
        <v>301</v>
      </c>
      <c r="E1" s="65" t="s">
        <v>296</v>
      </c>
      <c r="F1" s="66" t="s">
        <v>293</v>
      </c>
    </row>
    <row r="2" spans="1:6" ht="15.75" thickTop="1" x14ac:dyDescent="0.25"/>
  </sheetData>
  <autoFilter ref="A1:F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"/>
  <sheetViews>
    <sheetView zoomScale="80" zoomScaleNormal="80" workbookViewId="0">
      <selection sqref="A1:R1"/>
    </sheetView>
  </sheetViews>
  <sheetFormatPr defaultRowHeight="15" x14ac:dyDescent="0.25"/>
  <cols>
    <col min="16" max="16" customWidth="true" width="104.0" collapsed="true"/>
  </cols>
  <sheetData>
    <row r="1" spans="1:18" ht="16.5" thickTop="1" thickBot="1" x14ac:dyDescent="0.3">
      <c r="A1" s="63" t="s">
        <v>302</v>
      </c>
      <c r="B1" s="63" t="s">
        <v>303</v>
      </c>
      <c r="C1" s="63" t="s">
        <v>304</v>
      </c>
      <c r="D1" s="63" t="s">
        <v>305</v>
      </c>
      <c r="E1" s="63" t="s">
        <v>306</v>
      </c>
      <c r="F1" s="63" t="s">
        <v>307</v>
      </c>
      <c r="G1" s="63" t="s">
        <v>308</v>
      </c>
      <c r="H1" s="63" t="s">
        <v>309</v>
      </c>
      <c r="I1" s="67" t="s">
        <v>310</v>
      </c>
      <c r="J1" s="63" t="s">
        <v>311</v>
      </c>
      <c r="K1" s="63" t="s">
        <v>312</v>
      </c>
      <c r="L1" s="67" t="s">
        <v>313</v>
      </c>
      <c r="M1" s="63" t="s">
        <v>314</v>
      </c>
      <c r="N1" s="63" t="s">
        <v>295</v>
      </c>
      <c r="O1" s="63" t="s">
        <v>315</v>
      </c>
      <c r="P1" s="63" t="s">
        <v>316</v>
      </c>
      <c r="Q1" s="68" t="s">
        <v>317</v>
      </c>
      <c r="R1" s="69" t="s">
        <v>201</v>
      </c>
    </row>
    <row r="2" spans="1:18" ht="15.75" thickTop="1" x14ac:dyDescent="0.25"/>
  </sheetData>
  <autoFilter ref="A1:R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446"/>
  <sheetViews>
    <sheetView zoomScale="85" zoomScaleNormal="85" workbookViewId="0">
      <selection activeCell="H37" sqref="H37"/>
    </sheetView>
  </sheetViews>
  <sheetFormatPr defaultRowHeight="15" x14ac:dyDescent="0.25"/>
  <cols>
    <col min="1" max="1" bestFit="true" customWidth="true" style="49" width="43.28515625" collapsed="true"/>
    <col min="2" max="2" customWidth="true" style="49" width="8.7109375" collapsed="true"/>
    <col min="3" max="3" bestFit="true" customWidth="true" style="49" width="15.5703125" collapsed="true"/>
    <col min="4" max="4" bestFit="true" customWidth="true" style="49" width="6.140625" collapsed="true"/>
    <col min="5" max="5" bestFit="true" customWidth="true" style="49" width="20.85546875" collapsed="true"/>
    <col min="6" max="6" bestFit="true" customWidth="true" style="49" width="13.7109375" collapsed="true"/>
    <col min="7" max="7" bestFit="true" customWidth="true" style="49" width="14.7109375" collapsed="true"/>
    <col min="8" max="8" bestFit="true" customWidth="true" style="49" width="36.140625" collapsed="true"/>
    <col min="9" max="9" bestFit="true" customWidth="true" style="49" width="26.42578125" collapsed="true"/>
    <col min="10" max="10" bestFit="true" customWidth="true" style="49" width="99.28515625" collapsed="true"/>
    <col min="11" max="12" bestFit="true" customWidth="true" style="49" width="14.5703125" collapsed="true"/>
    <col min="13" max="13" bestFit="true" customWidth="true" style="49" width="19.42578125" collapsed="true"/>
    <col min="14" max="14" bestFit="true" customWidth="true" style="49" width="11.5703125" collapsed="true"/>
    <col min="15" max="15" bestFit="true" customWidth="true" style="49" width="19.0" collapsed="true"/>
    <col min="16" max="16" bestFit="true" customWidth="true" style="49" width="66.5703125" collapsed="true"/>
    <col min="17" max="256" style="49" width="9.140625" collapsed="true"/>
    <col min="257" max="257" customWidth="true" style="49" width="40.7109375" collapsed="true"/>
    <col min="258" max="258" customWidth="true" style="49" width="8.7109375" collapsed="true"/>
    <col min="259" max="259" customWidth="true" style="49" width="17.7109375" collapsed="true"/>
    <col min="260" max="260" customWidth="true" style="49" width="6.7109375" collapsed="true"/>
    <col min="261" max="261" customWidth="true" style="49" width="21.7109375" collapsed="true"/>
    <col min="262" max="262" customWidth="true" style="49" width="14.7109375" collapsed="true"/>
    <col min="263" max="263" customWidth="true" style="49" width="16.7109375" collapsed="true"/>
    <col min="264" max="264" customWidth="true" style="49" width="35.7109375" collapsed="true"/>
    <col min="265" max="265" customWidth="true" style="49" width="23.7109375" collapsed="true"/>
    <col min="266" max="266" customWidth="true" style="49" width="103.7109375" collapsed="true"/>
    <col min="267" max="268" customWidth="true" style="49" width="16.7109375" collapsed="true"/>
    <col min="269" max="269" customWidth="true" style="49" width="18.7109375" collapsed="true"/>
    <col min="270" max="270" customWidth="true" style="49" width="10.7109375" collapsed="true"/>
    <col min="271" max="272" customWidth="true" hidden="true" style="49" width="0.0" collapsed="true"/>
    <col min="273" max="512" style="49" width="9.140625" collapsed="true"/>
    <col min="513" max="513" customWidth="true" style="49" width="40.7109375" collapsed="true"/>
    <col min="514" max="514" customWidth="true" style="49" width="8.7109375" collapsed="true"/>
    <col min="515" max="515" customWidth="true" style="49" width="17.7109375" collapsed="true"/>
    <col min="516" max="516" customWidth="true" style="49" width="6.7109375" collapsed="true"/>
    <col min="517" max="517" customWidth="true" style="49" width="21.7109375" collapsed="true"/>
    <col min="518" max="518" customWidth="true" style="49" width="14.7109375" collapsed="true"/>
    <col min="519" max="519" customWidth="true" style="49" width="16.7109375" collapsed="true"/>
    <col min="520" max="520" customWidth="true" style="49" width="35.7109375" collapsed="true"/>
    <col min="521" max="521" customWidth="true" style="49" width="23.7109375" collapsed="true"/>
    <col min="522" max="522" customWidth="true" style="49" width="103.7109375" collapsed="true"/>
    <col min="523" max="524" customWidth="true" style="49" width="16.7109375" collapsed="true"/>
    <col min="525" max="525" customWidth="true" style="49" width="18.7109375" collapsed="true"/>
    <col min="526" max="526" customWidth="true" style="49" width="10.7109375" collapsed="true"/>
    <col min="527" max="528" customWidth="true" hidden="true" style="49" width="0.0" collapsed="true"/>
    <col min="529" max="768" style="49" width="9.140625" collapsed="true"/>
    <col min="769" max="769" customWidth="true" style="49" width="40.7109375" collapsed="true"/>
    <col min="770" max="770" customWidth="true" style="49" width="8.7109375" collapsed="true"/>
    <col min="771" max="771" customWidth="true" style="49" width="17.7109375" collapsed="true"/>
    <col min="772" max="772" customWidth="true" style="49" width="6.7109375" collapsed="true"/>
    <col min="773" max="773" customWidth="true" style="49" width="21.7109375" collapsed="true"/>
    <col min="774" max="774" customWidth="true" style="49" width="14.7109375" collapsed="true"/>
    <col min="775" max="775" customWidth="true" style="49" width="16.7109375" collapsed="true"/>
    <col min="776" max="776" customWidth="true" style="49" width="35.7109375" collapsed="true"/>
    <col min="777" max="777" customWidth="true" style="49" width="23.7109375" collapsed="true"/>
    <col min="778" max="778" customWidth="true" style="49" width="103.7109375" collapsed="true"/>
    <col min="779" max="780" customWidth="true" style="49" width="16.7109375" collapsed="true"/>
    <col min="781" max="781" customWidth="true" style="49" width="18.7109375" collapsed="true"/>
    <col min="782" max="782" customWidth="true" style="49" width="10.7109375" collapsed="true"/>
    <col min="783" max="784" customWidth="true" hidden="true" style="49" width="0.0" collapsed="true"/>
    <col min="785" max="1024" style="49" width="9.140625" collapsed="true"/>
    <col min="1025" max="1025" customWidth="true" style="49" width="40.7109375" collapsed="true"/>
    <col min="1026" max="1026" customWidth="true" style="49" width="8.7109375" collapsed="true"/>
    <col min="1027" max="1027" customWidth="true" style="49" width="17.7109375" collapsed="true"/>
    <col min="1028" max="1028" customWidth="true" style="49" width="6.7109375" collapsed="true"/>
    <col min="1029" max="1029" customWidth="true" style="49" width="21.7109375" collapsed="true"/>
    <col min="1030" max="1030" customWidth="true" style="49" width="14.7109375" collapsed="true"/>
    <col min="1031" max="1031" customWidth="true" style="49" width="16.7109375" collapsed="true"/>
    <col min="1032" max="1032" customWidth="true" style="49" width="35.7109375" collapsed="true"/>
    <col min="1033" max="1033" customWidth="true" style="49" width="23.7109375" collapsed="true"/>
    <col min="1034" max="1034" customWidth="true" style="49" width="103.7109375" collapsed="true"/>
    <col min="1035" max="1036" customWidth="true" style="49" width="16.7109375" collapsed="true"/>
    <col min="1037" max="1037" customWidth="true" style="49" width="18.7109375" collapsed="true"/>
    <col min="1038" max="1038" customWidth="true" style="49" width="10.7109375" collapsed="true"/>
    <col min="1039" max="1040" customWidth="true" hidden="true" style="49" width="0.0" collapsed="true"/>
    <col min="1041" max="1280" style="49" width="9.140625" collapsed="true"/>
    <col min="1281" max="1281" customWidth="true" style="49" width="40.7109375" collapsed="true"/>
    <col min="1282" max="1282" customWidth="true" style="49" width="8.7109375" collapsed="true"/>
    <col min="1283" max="1283" customWidth="true" style="49" width="17.7109375" collapsed="true"/>
    <col min="1284" max="1284" customWidth="true" style="49" width="6.7109375" collapsed="true"/>
    <col min="1285" max="1285" customWidth="true" style="49" width="21.7109375" collapsed="true"/>
    <col min="1286" max="1286" customWidth="true" style="49" width="14.7109375" collapsed="true"/>
    <col min="1287" max="1287" customWidth="true" style="49" width="16.7109375" collapsed="true"/>
    <col min="1288" max="1288" customWidth="true" style="49" width="35.7109375" collapsed="true"/>
    <col min="1289" max="1289" customWidth="true" style="49" width="23.7109375" collapsed="true"/>
    <col min="1290" max="1290" customWidth="true" style="49" width="103.7109375" collapsed="true"/>
    <col min="1291" max="1292" customWidth="true" style="49" width="16.7109375" collapsed="true"/>
    <col min="1293" max="1293" customWidth="true" style="49" width="18.7109375" collapsed="true"/>
    <col min="1294" max="1294" customWidth="true" style="49" width="10.7109375" collapsed="true"/>
    <col min="1295" max="1296" customWidth="true" hidden="true" style="49" width="0.0" collapsed="true"/>
    <col min="1297" max="1536" style="49" width="9.140625" collapsed="true"/>
    <col min="1537" max="1537" customWidth="true" style="49" width="40.7109375" collapsed="true"/>
    <col min="1538" max="1538" customWidth="true" style="49" width="8.7109375" collapsed="true"/>
    <col min="1539" max="1539" customWidth="true" style="49" width="17.7109375" collapsed="true"/>
    <col min="1540" max="1540" customWidth="true" style="49" width="6.7109375" collapsed="true"/>
    <col min="1541" max="1541" customWidth="true" style="49" width="21.7109375" collapsed="true"/>
    <col min="1542" max="1542" customWidth="true" style="49" width="14.7109375" collapsed="true"/>
    <col min="1543" max="1543" customWidth="true" style="49" width="16.7109375" collapsed="true"/>
    <col min="1544" max="1544" customWidth="true" style="49" width="35.7109375" collapsed="true"/>
    <col min="1545" max="1545" customWidth="true" style="49" width="23.7109375" collapsed="true"/>
    <col min="1546" max="1546" customWidth="true" style="49" width="103.7109375" collapsed="true"/>
    <col min="1547" max="1548" customWidth="true" style="49" width="16.7109375" collapsed="true"/>
    <col min="1549" max="1549" customWidth="true" style="49" width="18.7109375" collapsed="true"/>
    <col min="1550" max="1550" customWidth="true" style="49" width="10.7109375" collapsed="true"/>
    <col min="1551" max="1552" customWidth="true" hidden="true" style="49" width="0.0" collapsed="true"/>
    <col min="1553" max="1792" style="49" width="9.140625" collapsed="true"/>
    <col min="1793" max="1793" customWidth="true" style="49" width="40.7109375" collapsed="true"/>
    <col min="1794" max="1794" customWidth="true" style="49" width="8.7109375" collapsed="true"/>
    <col min="1795" max="1795" customWidth="true" style="49" width="17.7109375" collapsed="true"/>
    <col min="1796" max="1796" customWidth="true" style="49" width="6.7109375" collapsed="true"/>
    <col min="1797" max="1797" customWidth="true" style="49" width="21.7109375" collapsed="true"/>
    <col min="1798" max="1798" customWidth="true" style="49" width="14.7109375" collapsed="true"/>
    <col min="1799" max="1799" customWidth="true" style="49" width="16.7109375" collapsed="true"/>
    <col min="1800" max="1800" customWidth="true" style="49" width="35.7109375" collapsed="true"/>
    <col min="1801" max="1801" customWidth="true" style="49" width="23.7109375" collapsed="true"/>
    <col min="1802" max="1802" customWidth="true" style="49" width="103.7109375" collapsed="true"/>
    <col min="1803" max="1804" customWidth="true" style="49" width="16.7109375" collapsed="true"/>
    <col min="1805" max="1805" customWidth="true" style="49" width="18.7109375" collapsed="true"/>
    <col min="1806" max="1806" customWidth="true" style="49" width="10.7109375" collapsed="true"/>
    <col min="1807" max="1808" customWidth="true" hidden="true" style="49" width="0.0" collapsed="true"/>
    <col min="1809" max="2048" style="49" width="9.140625" collapsed="true"/>
    <col min="2049" max="2049" customWidth="true" style="49" width="40.7109375" collapsed="true"/>
    <col min="2050" max="2050" customWidth="true" style="49" width="8.7109375" collapsed="true"/>
    <col min="2051" max="2051" customWidth="true" style="49" width="17.7109375" collapsed="true"/>
    <col min="2052" max="2052" customWidth="true" style="49" width="6.7109375" collapsed="true"/>
    <col min="2053" max="2053" customWidth="true" style="49" width="21.7109375" collapsed="true"/>
    <col min="2054" max="2054" customWidth="true" style="49" width="14.7109375" collapsed="true"/>
    <col min="2055" max="2055" customWidth="true" style="49" width="16.7109375" collapsed="true"/>
    <col min="2056" max="2056" customWidth="true" style="49" width="35.7109375" collapsed="true"/>
    <col min="2057" max="2057" customWidth="true" style="49" width="23.7109375" collapsed="true"/>
    <col min="2058" max="2058" customWidth="true" style="49" width="103.7109375" collapsed="true"/>
    <col min="2059" max="2060" customWidth="true" style="49" width="16.7109375" collapsed="true"/>
    <col min="2061" max="2061" customWidth="true" style="49" width="18.7109375" collapsed="true"/>
    <col min="2062" max="2062" customWidth="true" style="49" width="10.7109375" collapsed="true"/>
    <col min="2063" max="2064" customWidth="true" hidden="true" style="49" width="0.0" collapsed="true"/>
    <col min="2065" max="2304" style="49" width="9.140625" collapsed="true"/>
    <col min="2305" max="2305" customWidth="true" style="49" width="40.7109375" collapsed="true"/>
    <col min="2306" max="2306" customWidth="true" style="49" width="8.7109375" collapsed="true"/>
    <col min="2307" max="2307" customWidth="true" style="49" width="17.7109375" collapsed="true"/>
    <col min="2308" max="2308" customWidth="true" style="49" width="6.7109375" collapsed="true"/>
    <col min="2309" max="2309" customWidth="true" style="49" width="21.7109375" collapsed="true"/>
    <col min="2310" max="2310" customWidth="true" style="49" width="14.7109375" collapsed="true"/>
    <col min="2311" max="2311" customWidth="true" style="49" width="16.7109375" collapsed="true"/>
    <col min="2312" max="2312" customWidth="true" style="49" width="35.7109375" collapsed="true"/>
    <col min="2313" max="2313" customWidth="true" style="49" width="23.7109375" collapsed="true"/>
    <col min="2314" max="2314" customWidth="true" style="49" width="103.7109375" collapsed="true"/>
    <col min="2315" max="2316" customWidth="true" style="49" width="16.7109375" collapsed="true"/>
    <col min="2317" max="2317" customWidth="true" style="49" width="18.7109375" collapsed="true"/>
    <col min="2318" max="2318" customWidth="true" style="49" width="10.7109375" collapsed="true"/>
    <col min="2319" max="2320" customWidth="true" hidden="true" style="49" width="0.0" collapsed="true"/>
    <col min="2321" max="2560" style="49" width="9.140625" collapsed="true"/>
    <col min="2561" max="2561" customWidth="true" style="49" width="40.7109375" collapsed="true"/>
    <col min="2562" max="2562" customWidth="true" style="49" width="8.7109375" collapsed="true"/>
    <col min="2563" max="2563" customWidth="true" style="49" width="17.7109375" collapsed="true"/>
    <col min="2564" max="2564" customWidth="true" style="49" width="6.7109375" collapsed="true"/>
    <col min="2565" max="2565" customWidth="true" style="49" width="21.7109375" collapsed="true"/>
    <col min="2566" max="2566" customWidth="true" style="49" width="14.7109375" collapsed="true"/>
    <col min="2567" max="2567" customWidth="true" style="49" width="16.7109375" collapsed="true"/>
    <col min="2568" max="2568" customWidth="true" style="49" width="35.7109375" collapsed="true"/>
    <col min="2569" max="2569" customWidth="true" style="49" width="23.7109375" collapsed="true"/>
    <col min="2570" max="2570" customWidth="true" style="49" width="103.7109375" collapsed="true"/>
    <col min="2571" max="2572" customWidth="true" style="49" width="16.7109375" collapsed="true"/>
    <col min="2573" max="2573" customWidth="true" style="49" width="18.7109375" collapsed="true"/>
    <col min="2574" max="2574" customWidth="true" style="49" width="10.7109375" collapsed="true"/>
    <col min="2575" max="2576" customWidth="true" hidden="true" style="49" width="0.0" collapsed="true"/>
    <col min="2577" max="2816" style="49" width="9.140625" collapsed="true"/>
    <col min="2817" max="2817" customWidth="true" style="49" width="40.7109375" collapsed="true"/>
    <col min="2818" max="2818" customWidth="true" style="49" width="8.7109375" collapsed="true"/>
    <col min="2819" max="2819" customWidth="true" style="49" width="17.7109375" collapsed="true"/>
    <col min="2820" max="2820" customWidth="true" style="49" width="6.7109375" collapsed="true"/>
    <col min="2821" max="2821" customWidth="true" style="49" width="21.7109375" collapsed="true"/>
    <col min="2822" max="2822" customWidth="true" style="49" width="14.7109375" collapsed="true"/>
    <col min="2823" max="2823" customWidth="true" style="49" width="16.7109375" collapsed="true"/>
    <col min="2824" max="2824" customWidth="true" style="49" width="35.7109375" collapsed="true"/>
    <col min="2825" max="2825" customWidth="true" style="49" width="23.7109375" collapsed="true"/>
    <col min="2826" max="2826" customWidth="true" style="49" width="103.7109375" collapsed="true"/>
    <col min="2827" max="2828" customWidth="true" style="49" width="16.7109375" collapsed="true"/>
    <col min="2829" max="2829" customWidth="true" style="49" width="18.7109375" collapsed="true"/>
    <col min="2830" max="2830" customWidth="true" style="49" width="10.7109375" collapsed="true"/>
    <col min="2831" max="2832" customWidth="true" hidden="true" style="49" width="0.0" collapsed="true"/>
    <col min="2833" max="3072" style="49" width="9.140625" collapsed="true"/>
    <col min="3073" max="3073" customWidth="true" style="49" width="40.7109375" collapsed="true"/>
    <col min="3074" max="3074" customWidth="true" style="49" width="8.7109375" collapsed="true"/>
    <col min="3075" max="3075" customWidth="true" style="49" width="17.7109375" collapsed="true"/>
    <col min="3076" max="3076" customWidth="true" style="49" width="6.7109375" collapsed="true"/>
    <col min="3077" max="3077" customWidth="true" style="49" width="21.7109375" collapsed="true"/>
    <col min="3078" max="3078" customWidth="true" style="49" width="14.7109375" collapsed="true"/>
    <col min="3079" max="3079" customWidth="true" style="49" width="16.7109375" collapsed="true"/>
    <col min="3080" max="3080" customWidth="true" style="49" width="35.7109375" collapsed="true"/>
    <col min="3081" max="3081" customWidth="true" style="49" width="23.7109375" collapsed="true"/>
    <col min="3082" max="3082" customWidth="true" style="49" width="103.7109375" collapsed="true"/>
    <col min="3083" max="3084" customWidth="true" style="49" width="16.7109375" collapsed="true"/>
    <col min="3085" max="3085" customWidth="true" style="49" width="18.7109375" collapsed="true"/>
    <col min="3086" max="3086" customWidth="true" style="49" width="10.7109375" collapsed="true"/>
    <col min="3087" max="3088" customWidth="true" hidden="true" style="49" width="0.0" collapsed="true"/>
    <col min="3089" max="3328" style="49" width="9.140625" collapsed="true"/>
    <col min="3329" max="3329" customWidth="true" style="49" width="40.7109375" collapsed="true"/>
    <col min="3330" max="3330" customWidth="true" style="49" width="8.7109375" collapsed="true"/>
    <col min="3331" max="3331" customWidth="true" style="49" width="17.7109375" collapsed="true"/>
    <col min="3332" max="3332" customWidth="true" style="49" width="6.7109375" collapsed="true"/>
    <col min="3333" max="3333" customWidth="true" style="49" width="21.7109375" collapsed="true"/>
    <col min="3334" max="3334" customWidth="true" style="49" width="14.7109375" collapsed="true"/>
    <col min="3335" max="3335" customWidth="true" style="49" width="16.7109375" collapsed="true"/>
    <col min="3336" max="3336" customWidth="true" style="49" width="35.7109375" collapsed="true"/>
    <col min="3337" max="3337" customWidth="true" style="49" width="23.7109375" collapsed="true"/>
    <col min="3338" max="3338" customWidth="true" style="49" width="103.7109375" collapsed="true"/>
    <col min="3339" max="3340" customWidth="true" style="49" width="16.7109375" collapsed="true"/>
    <col min="3341" max="3341" customWidth="true" style="49" width="18.7109375" collapsed="true"/>
    <col min="3342" max="3342" customWidth="true" style="49" width="10.7109375" collapsed="true"/>
    <col min="3343" max="3344" customWidth="true" hidden="true" style="49" width="0.0" collapsed="true"/>
    <col min="3345" max="3584" style="49" width="9.140625" collapsed="true"/>
    <col min="3585" max="3585" customWidth="true" style="49" width="40.7109375" collapsed="true"/>
    <col min="3586" max="3586" customWidth="true" style="49" width="8.7109375" collapsed="true"/>
    <col min="3587" max="3587" customWidth="true" style="49" width="17.7109375" collapsed="true"/>
    <col min="3588" max="3588" customWidth="true" style="49" width="6.7109375" collapsed="true"/>
    <col min="3589" max="3589" customWidth="true" style="49" width="21.7109375" collapsed="true"/>
    <col min="3590" max="3590" customWidth="true" style="49" width="14.7109375" collapsed="true"/>
    <col min="3591" max="3591" customWidth="true" style="49" width="16.7109375" collapsed="true"/>
    <col min="3592" max="3592" customWidth="true" style="49" width="35.7109375" collapsed="true"/>
    <col min="3593" max="3593" customWidth="true" style="49" width="23.7109375" collapsed="true"/>
    <col min="3594" max="3594" customWidth="true" style="49" width="103.7109375" collapsed="true"/>
    <col min="3595" max="3596" customWidth="true" style="49" width="16.7109375" collapsed="true"/>
    <col min="3597" max="3597" customWidth="true" style="49" width="18.7109375" collapsed="true"/>
    <col min="3598" max="3598" customWidth="true" style="49" width="10.7109375" collapsed="true"/>
    <col min="3599" max="3600" customWidth="true" hidden="true" style="49" width="0.0" collapsed="true"/>
    <col min="3601" max="3840" style="49" width="9.140625" collapsed="true"/>
    <col min="3841" max="3841" customWidth="true" style="49" width="40.7109375" collapsed="true"/>
    <col min="3842" max="3842" customWidth="true" style="49" width="8.7109375" collapsed="true"/>
    <col min="3843" max="3843" customWidth="true" style="49" width="17.7109375" collapsed="true"/>
    <col min="3844" max="3844" customWidth="true" style="49" width="6.7109375" collapsed="true"/>
    <col min="3845" max="3845" customWidth="true" style="49" width="21.7109375" collapsed="true"/>
    <col min="3846" max="3846" customWidth="true" style="49" width="14.7109375" collapsed="true"/>
    <col min="3847" max="3847" customWidth="true" style="49" width="16.7109375" collapsed="true"/>
    <col min="3848" max="3848" customWidth="true" style="49" width="35.7109375" collapsed="true"/>
    <col min="3849" max="3849" customWidth="true" style="49" width="23.7109375" collapsed="true"/>
    <col min="3850" max="3850" customWidth="true" style="49" width="103.7109375" collapsed="true"/>
    <col min="3851" max="3852" customWidth="true" style="49" width="16.7109375" collapsed="true"/>
    <col min="3853" max="3853" customWidth="true" style="49" width="18.7109375" collapsed="true"/>
    <col min="3854" max="3854" customWidth="true" style="49" width="10.7109375" collapsed="true"/>
    <col min="3855" max="3856" customWidth="true" hidden="true" style="49" width="0.0" collapsed="true"/>
    <col min="3857" max="4096" style="49" width="9.140625" collapsed="true"/>
    <col min="4097" max="4097" customWidth="true" style="49" width="40.7109375" collapsed="true"/>
    <col min="4098" max="4098" customWidth="true" style="49" width="8.7109375" collapsed="true"/>
    <col min="4099" max="4099" customWidth="true" style="49" width="17.7109375" collapsed="true"/>
    <col min="4100" max="4100" customWidth="true" style="49" width="6.7109375" collapsed="true"/>
    <col min="4101" max="4101" customWidth="true" style="49" width="21.7109375" collapsed="true"/>
    <col min="4102" max="4102" customWidth="true" style="49" width="14.7109375" collapsed="true"/>
    <col min="4103" max="4103" customWidth="true" style="49" width="16.7109375" collapsed="true"/>
    <col min="4104" max="4104" customWidth="true" style="49" width="35.7109375" collapsed="true"/>
    <col min="4105" max="4105" customWidth="true" style="49" width="23.7109375" collapsed="true"/>
    <col min="4106" max="4106" customWidth="true" style="49" width="103.7109375" collapsed="true"/>
    <col min="4107" max="4108" customWidth="true" style="49" width="16.7109375" collapsed="true"/>
    <col min="4109" max="4109" customWidth="true" style="49" width="18.7109375" collapsed="true"/>
    <col min="4110" max="4110" customWidth="true" style="49" width="10.7109375" collapsed="true"/>
    <col min="4111" max="4112" customWidth="true" hidden="true" style="49" width="0.0" collapsed="true"/>
    <col min="4113" max="4352" style="49" width="9.140625" collapsed="true"/>
    <col min="4353" max="4353" customWidth="true" style="49" width="40.7109375" collapsed="true"/>
    <col min="4354" max="4354" customWidth="true" style="49" width="8.7109375" collapsed="true"/>
    <col min="4355" max="4355" customWidth="true" style="49" width="17.7109375" collapsed="true"/>
    <col min="4356" max="4356" customWidth="true" style="49" width="6.7109375" collapsed="true"/>
    <col min="4357" max="4357" customWidth="true" style="49" width="21.7109375" collapsed="true"/>
    <col min="4358" max="4358" customWidth="true" style="49" width="14.7109375" collapsed="true"/>
    <col min="4359" max="4359" customWidth="true" style="49" width="16.7109375" collapsed="true"/>
    <col min="4360" max="4360" customWidth="true" style="49" width="35.7109375" collapsed="true"/>
    <col min="4361" max="4361" customWidth="true" style="49" width="23.7109375" collapsed="true"/>
    <col min="4362" max="4362" customWidth="true" style="49" width="103.7109375" collapsed="true"/>
    <col min="4363" max="4364" customWidth="true" style="49" width="16.7109375" collapsed="true"/>
    <col min="4365" max="4365" customWidth="true" style="49" width="18.7109375" collapsed="true"/>
    <col min="4366" max="4366" customWidth="true" style="49" width="10.7109375" collapsed="true"/>
    <col min="4367" max="4368" customWidth="true" hidden="true" style="49" width="0.0" collapsed="true"/>
    <col min="4369" max="4608" style="49" width="9.140625" collapsed="true"/>
    <col min="4609" max="4609" customWidth="true" style="49" width="40.7109375" collapsed="true"/>
    <col min="4610" max="4610" customWidth="true" style="49" width="8.7109375" collapsed="true"/>
    <col min="4611" max="4611" customWidth="true" style="49" width="17.7109375" collapsed="true"/>
    <col min="4612" max="4612" customWidth="true" style="49" width="6.7109375" collapsed="true"/>
    <col min="4613" max="4613" customWidth="true" style="49" width="21.7109375" collapsed="true"/>
    <col min="4614" max="4614" customWidth="true" style="49" width="14.7109375" collapsed="true"/>
    <col min="4615" max="4615" customWidth="true" style="49" width="16.7109375" collapsed="true"/>
    <col min="4616" max="4616" customWidth="true" style="49" width="35.7109375" collapsed="true"/>
    <col min="4617" max="4617" customWidth="true" style="49" width="23.7109375" collapsed="true"/>
    <col min="4618" max="4618" customWidth="true" style="49" width="103.7109375" collapsed="true"/>
    <col min="4619" max="4620" customWidth="true" style="49" width="16.7109375" collapsed="true"/>
    <col min="4621" max="4621" customWidth="true" style="49" width="18.7109375" collapsed="true"/>
    <col min="4622" max="4622" customWidth="true" style="49" width="10.7109375" collapsed="true"/>
    <col min="4623" max="4624" customWidth="true" hidden="true" style="49" width="0.0" collapsed="true"/>
    <col min="4625" max="4864" style="49" width="9.140625" collapsed="true"/>
    <col min="4865" max="4865" customWidth="true" style="49" width="40.7109375" collapsed="true"/>
    <col min="4866" max="4866" customWidth="true" style="49" width="8.7109375" collapsed="true"/>
    <col min="4867" max="4867" customWidth="true" style="49" width="17.7109375" collapsed="true"/>
    <col min="4868" max="4868" customWidth="true" style="49" width="6.7109375" collapsed="true"/>
    <col min="4869" max="4869" customWidth="true" style="49" width="21.7109375" collapsed="true"/>
    <col min="4870" max="4870" customWidth="true" style="49" width="14.7109375" collapsed="true"/>
    <col min="4871" max="4871" customWidth="true" style="49" width="16.7109375" collapsed="true"/>
    <col min="4872" max="4872" customWidth="true" style="49" width="35.7109375" collapsed="true"/>
    <col min="4873" max="4873" customWidth="true" style="49" width="23.7109375" collapsed="true"/>
    <col min="4874" max="4874" customWidth="true" style="49" width="103.7109375" collapsed="true"/>
    <col min="4875" max="4876" customWidth="true" style="49" width="16.7109375" collapsed="true"/>
    <col min="4877" max="4877" customWidth="true" style="49" width="18.7109375" collapsed="true"/>
    <col min="4878" max="4878" customWidth="true" style="49" width="10.7109375" collapsed="true"/>
    <col min="4879" max="4880" customWidth="true" hidden="true" style="49" width="0.0" collapsed="true"/>
    <col min="4881" max="5120" style="49" width="9.140625" collapsed="true"/>
    <col min="5121" max="5121" customWidth="true" style="49" width="40.7109375" collapsed="true"/>
    <col min="5122" max="5122" customWidth="true" style="49" width="8.7109375" collapsed="true"/>
    <col min="5123" max="5123" customWidth="true" style="49" width="17.7109375" collapsed="true"/>
    <col min="5124" max="5124" customWidth="true" style="49" width="6.7109375" collapsed="true"/>
    <col min="5125" max="5125" customWidth="true" style="49" width="21.7109375" collapsed="true"/>
    <col min="5126" max="5126" customWidth="true" style="49" width="14.7109375" collapsed="true"/>
    <col min="5127" max="5127" customWidth="true" style="49" width="16.7109375" collapsed="true"/>
    <col min="5128" max="5128" customWidth="true" style="49" width="35.7109375" collapsed="true"/>
    <col min="5129" max="5129" customWidth="true" style="49" width="23.7109375" collapsed="true"/>
    <col min="5130" max="5130" customWidth="true" style="49" width="103.7109375" collapsed="true"/>
    <col min="5131" max="5132" customWidth="true" style="49" width="16.7109375" collapsed="true"/>
    <col min="5133" max="5133" customWidth="true" style="49" width="18.7109375" collapsed="true"/>
    <col min="5134" max="5134" customWidth="true" style="49" width="10.7109375" collapsed="true"/>
    <col min="5135" max="5136" customWidth="true" hidden="true" style="49" width="0.0" collapsed="true"/>
    <col min="5137" max="5376" style="49" width="9.140625" collapsed="true"/>
    <col min="5377" max="5377" customWidth="true" style="49" width="40.7109375" collapsed="true"/>
    <col min="5378" max="5378" customWidth="true" style="49" width="8.7109375" collapsed="true"/>
    <col min="5379" max="5379" customWidth="true" style="49" width="17.7109375" collapsed="true"/>
    <col min="5380" max="5380" customWidth="true" style="49" width="6.7109375" collapsed="true"/>
    <col min="5381" max="5381" customWidth="true" style="49" width="21.7109375" collapsed="true"/>
    <col min="5382" max="5382" customWidth="true" style="49" width="14.7109375" collapsed="true"/>
    <col min="5383" max="5383" customWidth="true" style="49" width="16.7109375" collapsed="true"/>
    <col min="5384" max="5384" customWidth="true" style="49" width="35.7109375" collapsed="true"/>
    <col min="5385" max="5385" customWidth="true" style="49" width="23.7109375" collapsed="true"/>
    <col min="5386" max="5386" customWidth="true" style="49" width="103.7109375" collapsed="true"/>
    <col min="5387" max="5388" customWidth="true" style="49" width="16.7109375" collapsed="true"/>
    <col min="5389" max="5389" customWidth="true" style="49" width="18.7109375" collapsed="true"/>
    <col min="5390" max="5390" customWidth="true" style="49" width="10.7109375" collapsed="true"/>
    <col min="5391" max="5392" customWidth="true" hidden="true" style="49" width="0.0" collapsed="true"/>
    <col min="5393" max="5632" style="49" width="9.140625" collapsed="true"/>
    <col min="5633" max="5633" customWidth="true" style="49" width="40.7109375" collapsed="true"/>
    <col min="5634" max="5634" customWidth="true" style="49" width="8.7109375" collapsed="true"/>
    <col min="5635" max="5635" customWidth="true" style="49" width="17.7109375" collapsed="true"/>
    <col min="5636" max="5636" customWidth="true" style="49" width="6.7109375" collapsed="true"/>
    <col min="5637" max="5637" customWidth="true" style="49" width="21.7109375" collapsed="true"/>
    <col min="5638" max="5638" customWidth="true" style="49" width="14.7109375" collapsed="true"/>
    <col min="5639" max="5639" customWidth="true" style="49" width="16.7109375" collapsed="true"/>
    <col min="5640" max="5640" customWidth="true" style="49" width="35.7109375" collapsed="true"/>
    <col min="5641" max="5641" customWidth="true" style="49" width="23.7109375" collapsed="true"/>
    <col min="5642" max="5642" customWidth="true" style="49" width="103.7109375" collapsed="true"/>
    <col min="5643" max="5644" customWidth="true" style="49" width="16.7109375" collapsed="true"/>
    <col min="5645" max="5645" customWidth="true" style="49" width="18.7109375" collapsed="true"/>
    <col min="5646" max="5646" customWidth="true" style="49" width="10.7109375" collapsed="true"/>
    <col min="5647" max="5648" customWidth="true" hidden="true" style="49" width="0.0" collapsed="true"/>
    <col min="5649" max="5888" style="49" width="9.140625" collapsed="true"/>
    <col min="5889" max="5889" customWidth="true" style="49" width="40.7109375" collapsed="true"/>
    <col min="5890" max="5890" customWidth="true" style="49" width="8.7109375" collapsed="true"/>
    <col min="5891" max="5891" customWidth="true" style="49" width="17.7109375" collapsed="true"/>
    <col min="5892" max="5892" customWidth="true" style="49" width="6.7109375" collapsed="true"/>
    <col min="5893" max="5893" customWidth="true" style="49" width="21.7109375" collapsed="true"/>
    <col min="5894" max="5894" customWidth="true" style="49" width="14.7109375" collapsed="true"/>
    <col min="5895" max="5895" customWidth="true" style="49" width="16.7109375" collapsed="true"/>
    <col min="5896" max="5896" customWidth="true" style="49" width="35.7109375" collapsed="true"/>
    <col min="5897" max="5897" customWidth="true" style="49" width="23.7109375" collapsed="true"/>
    <col min="5898" max="5898" customWidth="true" style="49" width="103.7109375" collapsed="true"/>
    <col min="5899" max="5900" customWidth="true" style="49" width="16.7109375" collapsed="true"/>
    <col min="5901" max="5901" customWidth="true" style="49" width="18.7109375" collapsed="true"/>
    <col min="5902" max="5902" customWidth="true" style="49" width="10.7109375" collapsed="true"/>
    <col min="5903" max="5904" customWidth="true" hidden="true" style="49" width="0.0" collapsed="true"/>
    <col min="5905" max="6144" style="49" width="9.140625" collapsed="true"/>
    <col min="6145" max="6145" customWidth="true" style="49" width="40.7109375" collapsed="true"/>
    <col min="6146" max="6146" customWidth="true" style="49" width="8.7109375" collapsed="true"/>
    <col min="6147" max="6147" customWidth="true" style="49" width="17.7109375" collapsed="true"/>
    <col min="6148" max="6148" customWidth="true" style="49" width="6.7109375" collapsed="true"/>
    <col min="6149" max="6149" customWidth="true" style="49" width="21.7109375" collapsed="true"/>
    <col min="6150" max="6150" customWidth="true" style="49" width="14.7109375" collapsed="true"/>
    <col min="6151" max="6151" customWidth="true" style="49" width="16.7109375" collapsed="true"/>
    <col min="6152" max="6152" customWidth="true" style="49" width="35.7109375" collapsed="true"/>
    <col min="6153" max="6153" customWidth="true" style="49" width="23.7109375" collapsed="true"/>
    <col min="6154" max="6154" customWidth="true" style="49" width="103.7109375" collapsed="true"/>
    <col min="6155" max="6156" customWidth="true" style="49" width="16.7109375" collapsed="true"/>
    <col min="6157" max="6157" customWidth="true" style="49" width="18.7109375" collapsed="true"/>
    <col min="6158" max="6158" customWidth="true" style="49" width="10.7109375" collapsed="true"/>
    <col min="6159" max="6160" customWidth="true" hidden="true" style="49" width="0.0" collapsed="true"/>
    <col min="6161" max="6400" style="49" width="9.140625" collapsed="true"/>
    <col min="6401" max="6401" customWidth="true" style="49" width="40.7109375" collapsed="true"/>
    <col min="6402" max="6402" customWidth="true" style="49" width="8.7109375" collapsed="true"/>
    <col min="6403" max="6403" customWidth="true" style="49" width="17.7109375" collapsed="true"/>
    <col min="6404" max="6404" customWidth="true" style="49" width="6.7109375" collapsed="true"/>
    <col min="6405" max="6405" customWidth="true" style="49" width="21.7109375" collapsed="true"/>
    <col min="6406" max="6406" customWidth="true" style="49" width="14.7109375" collapsed="true"/>
    <col min="6407" max="6407" customWidth="true" style="49" width="16.7109375" collapsed="true"/>
    <col min="6408" max="6408" customWidth="true" style="49" width="35.7109375" collapsed="true"/>
    <col min="6409" max="6409" customWidth="true" style="49" width="23.7109375" collapsed="true"/>
    <col min="6410" max="6410" customWidth="true" style="49" width="103.7109375" collapsed="true"/>
    <col min="6411" max="6412" customWidth="true" style="49" width="16.7109375" collapsed="true"/>
    <col min="6413" max="6413" customWidth="true" style="49" width="18.7109375" collapsed="true"/>
    <col min="6414" max="6414" customWidth="true" style="49" width="10.7109375" collapsed="true"/>
    <col min="6415" max="6416" customWidth="true" hidden="true" style="49" width="0.0" collapsed="true"/>
    <col min="6417" max="6656" style="49" width="9.140625" collapsed="true"/>
    <col min="6657" max="6657" customWidth="true" style="49" width="40.7109375" collapsed="true"/>
    <col min="6658" max="6658" customWidth="true" style="49" width="8.7109375" collapsed="true"/>
    <col min="6659" max="6659" customWidth="true" style="49" width="17.7109375" collapsed="true"/>
    <col min="6660" max="6660" customWidth="true" style="49" width="6.7109375" collapsed="true"/>
    <col min="6661" max="6661" customWidth="true" style="49" width="21.7109375" collapsed="true"/>
    <col min="6662" max="6662" customWidth="true" style="49" width="14.7109375" collapsed="true"/>
    <col min="6663" max="6663" customWidth="true" style="49" width="16.7109375" collapsed="true"/>
    <col min="6664" max="6664" customWidth="true" style="49" width="35.7109375" collapsed="true"/>
    <col min="6665" max="6665" customWidth="true" style="49" width="23.7109375" collapsed="true"/>
    <col min="6666" max="6666" customWidth="true" style="49" width="103.7109375" collapsed="true"/>
    <col min="6667" max="6668" customWidth="true" style="49" width="16.7109375" collapsed="true"/>
    <col min="6669" max="6669" customWidth="true" style="49" width="18.7109375" collapsed="true"/>
    <col min="6670" max="6670" customWidth="true" style="49" width="10.7109375" collapsed="true"/>
    <col min="6671" max="6672" customWidth="true" hidden="true" style="49" width="0.0" collapsed="true"/>
    <col min="6673" max="6912" style="49" width="9.140625" collapsed="true"/>
    <col min="6913" max="6913" customWidth="true" style="49" width="40.7109375" collapsed="true"/>
    <col min="6914" max="6914" customWidth="true" style="49" width="8.7109375" collapsed="true"/>
    <col min="6915" max="6915" customWidth="true" style="49" width="17.7109375" collapsed="true"/>
    <col min="6916" max="6916" customWidth="true" style="49" width="6.7109375" collapsed="true"/>
    <col min="6917" max="6917" customWidth="true" style="49" width="21.7109375" collapsed="true"/>
    <col min="6918" max="6918" customWidth="true" style="49" width="14.7109375" collapsed="true"/>
    <col min="6919" max="6919" customWidth="true" style="49" width="16.7109375" collapsed="true"/>
    <col min="6920" max="6920" customWidth="true" style="49" width="35.7109375" collapsed="true"/>
    <col min="6921" max="6921" customWidth="true" style="49" width="23.7109375" collapsed="true"/>
    <col min="6922" max="6922" customWidth="true" style="49" width="103.7109375" collapsed="true"/>
    <col min="6923" max="6924" customWidth="true" style="49" width="16.7109375" collapsed="true"/>
    <col min="6925" max="6925" customWidth="true" style="49" width="18.7109375" collapsed="true"/>
    <col min="6926" max="6926" customWidth="true" style="49" width="10.7109375" collapsed="true"/>
    <col min="6927" max="6928" customWidth="true" hidden="true" style="49" width="0.0" collapsed="true"/>
    <col min="6929" max="7168" style="49" width="9.140625" collapsed="true"/>
    <col min="7169" max="7169" customWidth="true" style="49" width="40.7109375" collapsed="true"/>
    <col min="7170" max="7170" customWidth="true" style="49" width="8.7109375" collapsed="true"/>
    <col min="7171" max="7171" customWidth="true" style="49" width="17.7109375" collapsed="true"/>
    <col min="7172" max="7172" customWidth="true" style="49" width="6.7109375" collapsed="true"/>
    <col min="7173" max="7173" customWidth="true" style="49" width="21.7109375" collapsed="true"/>
    <col min="7174" max="7174" customWidth="true" style="49" width="14.7109375" collapsed="true"/>
    <col min="7175" max="7175" customWidth="true" style="49" width="16.7109375" collapsed="true"/>
    <col min="7176" max="7176" customWidth="true" style="49" width="35.7109375" collapsed="true"/>
    <col min="7177" max="7177" customWidth="true" style="49" width="23.7109375" collapsed="true"/>
    <col min="7178" max="7178" customWidth="true" style="49" width="103.7109375" collapsed="true"/>
    <col min="7179" max="7180" customWidth="true" style="49" width="16.7109375" collapsed="true"/>
    <col min="7181" max="7181" customWidth="true" style="49" width="18.7109375" collapsed="true"/>
    <col min="7182" max="7182" customWidth="true" style="49" width="10.7109375" collapsed="true"/>
    <col min="7183" max="7184" customWidth="true" hidden="true" style="49" width="0.0" collapsed="true"/>
    <col min="7185" max="7424" style="49" width="9.140625" collapsed="true"/>
    <col min="7425" max="7425" customWidth="true" style="49" width="40.7109375" collapsed="true"/>
    <col min="7426" max="7426" customWidth="true" style="49" width="8.7109375" collapsed="true"/>
    <col min="7427" max="7427" customWidth="true" style="49" width="17.7109375" collapsed="true"/>
    <col min="7428" max="7428" customWidth="true" style="49" width="6.7109375" collapsed="true"/>
    <col min="7429" max="7429" customWidth="true" style="49" width="21.7109375" collapsed="true"/>
    <col min="7430" max="7430" customWidth="true" style="49" width="14.7109375" collapsed="true"/>
    <col min="7431" max="7431" customWidth="true" style="49" width="16.7109375" collapsed="true"/>
    <col min="7432" max="7432" customWidth="true" style="49" width="35.7109375" collapsed="true"/>
    <col min="7433" max="7433" customWidth="true" style="49" width="23.7109375" collapsed="true"/>
    <col min="7434" max="7434" customWidth="true" style="49" width="103.7109375" collapsed="true"/>
    <col min="7435" max="7436" customWidth="true" style="49" width="16.7109375" collapsed="true"/>
    <col min="7437" max="7437" customWidth="true" style="49" width="18.7109375" collapsed="true"/>
    <col min="7438" max="7438" customWidth="true" style="49" width="10.7109375" collapsed="true"/>
    <col min="7439" max="7440" customWidth="true" hidden="true" style="49" width="0.0" collapsed="true"/>
    <col min="7441" max="7680" style="49" width="9.140625" collapsed="true"/>
    <col min="7681" max="7681" customWidth="true" style="49" width="40.7109375" collapsed="true"/>
    <col min="7682" max="7682" customWidth="true" style="49" width="8.7109375" collapsed="true"/>
    <col min="7683" max="7683" customWidth="true" style="49" width="17.7109375" collapsed="true"/>
    <col min="7684" max="7684" customWidth="true" style="49" width="6.7109375" collapsed="true"/>
    <col min="7685" max="7685" customWidth="true" style="49" width="21.7109375" collapsed="true"/>
    <col min="7686" max="7686" customWidth="true" style="49" width="14.7109375" collapsed="true"/>
    <col min="7687" max="7687" customWidth="true" style="49" width="16.7109375" collapsed="true"/>
    <col min="7688" max="7688" customWidth="true" style="49" width="35.7109375" collapsed="true"/>
    <col min="7689" max="7689" customWidth="true" style="49" width="23.7109375" collapsed="true"/>
    <col min="7690" max="7690" customWidth="true" style="49" width="103.7109375" collapsed="true"/>
    <col min="7691" max="7692" customWidth="true" style="49" width="16.7109375" collapsed="true"/>
    <col min="7693" max="7693" customWidth="true" style="49" width="18.7109375" collapsed="true"/>
    <col min="7694" max="7694" customWidth="true" style="49" width="10.7109375" collapsed="true"/>
    <col min="7695" max="7696" customWidth="true" hidden="true" style="49" width="0.0" collapsed="true"/>
    <col min="7697" max="7936" style="49" width="9.140625" collapsed="true"/>
    <col min="7937" max="7937" customWidth="true" style="49" width="40.7109375" collapsed="true"/>
    <col min="7938" max="7938" customWidth="true" style="49" width="8.7109375" collapsed="true"/>
    <col min="7939" max="7939" customWidth="true" style="49" width="17.7109375" collapsed="true"/>
    <col min="7940" max="7940" customWidth="true" style="49" width="6.7109375" collapsed="true"/>
    <col min="7941" max="7941" customWidth="true" style="49" width="21.7109375" collapsed="true"/>
    <col min="7942" max="7942" customWidth="true" style="49" width="14.7109375" collapsed="true"/>
    <col min="7943" max="7943" customWidth="true" style="49" width="16.7109375" collapsed="true"/>
    <col min="7944" max="7944" customWidth="true" style="49" width="35.7109375" collapsed="true"/>
    <col min="7945" max="7945" customWidth="true" style="49" width="23.7109375" collapsed="true"/>
    <col min="7946" max="7946" customWidth="true" style="49" width="103.7109375" collapsed="true"/>
    <col min="7947" max="7948" customWidth="true" style="49" width="16.7109375" collapsed="true"/>
    <col min="7949" max="7949" customWidth="true" style="49" width="18.7109375" collapsed="true"/>
    <col min="7950" max="7950" customWidth="true" style="49" width="10.7109375" collapsed="true"/>
    <col min="7951" max="7952" customWidth="true" hidden="true" style="49" width="0.0" collapsed="true"/>
    <col min="7953" max="8192" style="49" width="9.140625" collapsed="true"/>
    <col min="8193" max="8193" customWidth="true" style="49" width="40.7109375" collapsed="true"/>
    <col min="8194" max="8194" customWidth="true" style="49" width="8.7109375" collapsed="true"/>
    <col min="8195" max="8195" customWidth="true" style="49" width="17.7109375" collapsed="true"/>
    <col min="8196" max="8196" customWidth="true" style="49" width="6.7109375" collapsed="true"/>
    <col min="8197" max="8197" customWidth="true" style="49" width="21.7109375" collapsed="true"/>
    <col min="8198" max="8198" customWidth="true" style="49" width="14.7109375" collapsed="true"/>
    <col min="8199" max="8199" customWidth="true" style="49" width="16.7109375" collapsed="true"/>
    <col min="8200" max="8200" customWidth="true" style="49" width="35.7109375" collapsed="true"/>
    <col min="8201" max="8201" customWidth="true" style="49" width="23.7109375" collapsed="true"/>
    <col min="8202" max="8202" customWidth="true" style="49" width="103.7109375" collapsed="true"/>
    <col min="8203" max="8204" customWidth="true" style="49" width="16.7109375" collapsed="true"/>
    <col min="8205" max="8205" customWidth="true" style="49" width="18.7109375" collapsed="true"/>
    <col min="8206" max="8206" customWidth="true" style="49" width="10.7109375" collapsed="true"/>
    <col min="8207" max="8208" customWidth="true" hidden="true" style="49" width="0.0" collapsed="true"/>
    <col min="8209" max="8448" style="49" width="9.140625" collapsed="true"/>
    <col min="8449" max="8449" customWidth="true" style="49" width="40.7109375" collapsed="true"/>
    <col min="8450" max="8450" customWidth="true" style="49" width="8.7109375" collapsed="true"/>
    <col min="8451" max="8451" customWidth="true" style="49" width="17.7109375" collapsed="true"/>
    <col min="8452" max="8452" customWidth="true" style="49" width="6.7109375" collapsed="true"/>
    <col min="8453" max="8453" customWidth="true" style="49" width="21.7109375" collapsed="true"/>
    <col min="8454" max="8454" customWidth="true" style="49" width="14.7109375" collapsed="true"/>
    <col min="8455" max="8455" customWidth="true" style="49" width="16.7109375" collapsed="true"/>
    <col min="8456" max="8456" customWidth="true" style="49" width="35.7109375" collapsed="true"/>
    <col min="8457" max="8457" customWidth="true" style="49" width="23.7109375" collapsed="true"/>
    <col min="8458" max="8458" customWidth="true" style="49" width="103.7109375" collapsed="true"/>
    <col min="8459" max="8460" customWidth="true" style="49" width="16.7109375" collapsed="true"/>
    <col min="8461" max="8461" customWidth="true" style="49" width="18.7109375" collapsed="true"/>
    <col min="8462" max="8462" customWidth="true" style="49" width="10.7109375" collapsed="true"/>
    <col min="8463" max="8464" customWidth="true" hidden="true" style="49" width="0.0" collapsed="true"/>
    <col min="8465" max="8704" style="49" width="9.140625" collapsed="true"/>
    <col min="8705" max="8705" customWidth="true" style="49" width="40.7109375" collapsed="true"/>
    <col min="8706" max="8706" customWidth="true" style="49" width="8.7109375" collapsed="true"/>
    <col min="8707" max="8707" customWidth="true" style="49" width="17.7109375" collapsed="true"/>
    <col min="8708" max="8708" customWidth="true" style="49" width="6.7109375" collapsed="true"/>
    <col min="8709" max="8709" customWidth="true" style="49" width="21.7109375" collapsed="true"/>
    <col min="8710" max="8710" customWidth="true" style="49" width="14.7109375" collapsed="true"/>
    <col min="8711" max="8711" customWidth="true" style="49" width="16.7109375" collapsed="true"/>
    <col min="8712" max="8712" customWidth="true" style="49" width="35.7109375" collapsed="true"/>
    <col min="8713" max="8713" customWidth="true" style="49" width="23.7109375" collapsed="true"/>
    <col min="8714" max="8714" customWidth="true" style="49" width="103.7109375" collapsed="true"/>
    <col min="8715" max="8716" customWidth="true" style="49" width="16.7109375" collapsed="true"/>
    <col min="8717" max="8717" customWidth="true" style="49" width="18.7109375" collapsed="true"/>
    <col min="8718" max="8718" customWidth="true" style="49" width="10.7109375" collapsed="true"/>
    <col min="8719" max="8720" customWidth="true" hidden="true" style="49" width="0.0" collapsed="true"/>
    <col min="8721" max="8960" style="49" width="9.140625" collapsed="true"/>
    <col min="8961" max="8961" customWidth="true" style="49" width="40.7109375" collapsed="true"/>
    <col min="8962" max="8962" customWidth="true" style="49" width="8.7109375" collapsed="true"/>
    <col min="8963" max="8963" customWidth="true" style="49" width="17.7109375" collapsed="true"/>
    <col min="8964" max="8964" customWidth="true" style="49" width="6.7109375" collapsed="true"/>
    <col min="8965" max="8965" customWidth="true" style="49" width="21.7109375" collapsed="true"/>
    <col min="8966" max="8966" customWidth="true" style="49" width="14.7109375" collapsed="true"/>
    <col min="8967" max="8967" customWidth="true" style="49" width="16.7109375" collapsed="true"/>
    <col min="8968" max="8968" customWidth="true" style="49" width="35.7109375" collapsed="true"/>
    <col min="8969" max="8969" customWidth="true" style="49" width="23.7109375" collapsed="true"/>
    <col min="8970" max="8970" customWidth="true" style="49" width="103.7109375" collapsed="true"/>
    <col min="8971" max="8972" customWidth="true" style="49" width="16.7109375" collapsed="true"/>
    <col min="8973" max="8973" customWidth="true" style="49" width="18.7109375" collapsed="true"/>
    <col min="8974" max="8974" customWidth="true" style="49" width="10.7109375" collapsed="true"/>
    <col min="8975" max="8976" customWidth="true" hidden="true" style="49" width="0.0" collapsed="true"/>
    <col min="8977" max="9216" style="49" width="9.140625" collapsed="true"/>
    <col min="9217" max="9217" customWidth="true" style="49" width="40.7109375" collapsed="true"/>
    <col min="9218" max="9218" customWidth="true" style="49" width="8.7109375" collapsed="true"/>
    <col min="9219" max="9219" customWidth="true" style="49" width="17.7109375" collapsed="true"/>
    <col min="9220" max="9220" customWidth="true" style="49" width="6.7109375" collapsed="true"/>
    <col min="9221" max="9221" customWidth="true" style="49" width="21.7109375" collapsed="true"/>
    <col min="9222" max="9222" customWidth="true" style="49" width="14.7109375" collapsed="true"/>
    <col min="9223" max="9223" customWidth="true" style="49" width="16.7109375" collapsed="true"/>
    <col min="9224" max="9224" customWidth="true" style="49" width="35.7109375" collapsed="true"/>
    <col min="9225" max="9225" customWidth="true" style="49" width="23.7109375" collapsed="true"/>
    <col min="9226" max="9226" customWidth="true" style="49" width="103.7109375" collapsed="true"/>
    <col min="9227" max="9228" customWidth="true" style="49" width="16.7109375" collapsed="true"/>
    <col min="9229" max="9229" customWidth="true" style="49" width="18.7109375" collapsed="true"/>
    <col min="9230" max="9230" customWidth="true" style="49" width="10.7109375" collapsed="true"/>
    <col min="9231" max="9232" customWidth="true" hidden="true" style="49" width="0.0" collapsed="true"/>
    <col min="9233" max="9472" style="49" width="9.140625" collapsed="true"/>
    <col min="9473" max="9473" customWidth="true" style="49" width="40.7109375" collapsed="true"/>
    <col min="9474" max="9474" customWidth="true" style="49" width="8.7109375" collapsed="true"/>
    <col min="9475" max="9475" customWidth="true" style="49" width="17.7109375" collapsed="true"/>
    <col min="9476" max="9476" customWidth="true" style="49" width="6.7109375" collapsed="true"/>
    <col min="9477" max="9477" customWidth="true" style="49" width="21.7109375" collapsed="true"/>
    <col min="9478" max="9478" customWidth="true" style="49" width="14.7109375" collapsed="true"/>
    <col min="9479" max="9479" customWidth="true" style="49" width="16.7109375" collapsed="true"/>
    <col min="9480" max="9480" customWidth="true" style="49" width="35.7109375" collapsed="true"/>
    <col min="9481" max="9481" customWidth="true" style="49" width="23.7109375" collapsed="true"/>
    <col min="9482" max="9482" customWidth="true" style="49" width="103.7109375" collapsed="true"/>
    <col min="9483" max="9484" customWidth="true" style="49" width="16.7109375" collapsed="true"/>
    <col min="9485" max="9485" customWidth="true" style="49" width="18.7109375" collapsed="true"/>
    <col min="9486" max="9486" customWidth="true" style="49" width="10.7109375" collapsed="true"/>
    <col min="9487" max="9488" customWidth="true" hidden="true" style="49" width="0.0" collapsed="true"/>
    <col min="9489" max="9728" style="49" width="9.140625" collapsed="true"/>
    <col min="9729" max="9729" customWidth="true" style="49" width="40.7109375" collapsed="true"/>
    <col min="9730" max="9730" customWidth="true" style="49" width="8.7109375" collapsed="true"/>
    <col min="9731" max="9731" customWidth="true" style="49" width="17.7109375" collapsed="true"/>
    <col min="9732" max="9732" customWidth="true" style="49" width="6.7109375" collapsed="true"/>
    <col min="9733" max="9733" customWidth="true" style="49" width="21.7109375" collapsed="true"/>
    <col min="9734" max="9734" customWidth="true" style="49" width="14.7109375" collapsed="true"/>
    <col min="9735" max="9735" customWidth="true" style="49" width="16.7109375" collapsed="true"/>
    <col min="9736" max="9736" customWidth="true" style="49" width="35.7109375" collapsed="true"/>
    <col min="9737" max="9737" customWidth="true" style="49" width="23.7109375" collapsed="true"/>
    <col min="9738" max="9738" customWidth="true" style="49" width="103.7109375" collapsed="true"/>
    <col min="9739" max="9740" customWidth="true" style="49" width="16.7109375" collapsed="true"/>
    <col min="9741" max="9741" customWidth="true" style="49" width="18.7109375" collapsed="true"/>
    <col min="9742" max="9742" customWidth="true" style="49" width="10.7109375" collapsed="true"/>
    <col min="9743" max="9744" customWidth="true" hidden="true" style="49" width="0.0" collapsed="true"/>
    <col min="9745" max="9984" style="49" width="9.140625" collapsed="true"/>
    <col min="9985" max="9985" customWidth="true" style="49" width="40.7109375" collapsed="true"/>
    <col min="9986" max="9986" customWidth="true" style="49" width="8.7109375" collapsed="true"/>
    <col min="9987" max="9987" customWidth="true" style="49" width="17.7109375" collapsed="true"/>
    <col min="9988" max="9988" customWidth="true" style="49" width="6.7109375" collapsed="true"/>
    <col min="9989" max="9989" customWidth="true" style="49" width="21.7109375" collapsed="true"/>
    <col min="9990" max="9990" customWidth="true" style="49" width="14.7109375" collapsed="true"/>
    <col min="9991" max="9991" customWidth="true" style="49" width="16.7109375" collapsed="true"/>
    <col min="9992" max="9992" customWidth="true" style="49" width="35.7109375" collapsed="true"/>
    <col min="9993" max="9993" customWidth="true" style="49" width="23.7109375" collapsed="true"/>
    <col min="9994" max="9994" customWidth="true" style="49" width="103.7109375" collapsed="true"/>
    <col min="9995" max="9996" customWidth="true" style="49" width="16.7109375" collapsed="true"/>
    <col min="9997" max="9997" customWidth="true" style="49" width="18.7109375" collapsed="true"/>
    <col min="9998" max="9998" customWidth="true" style="49" width="10.7109375" collapsed="true"/>
    <col min="9999" max="10000" customWidth="true" hidden="true" style="49" width="0.0" collapsed="true"/>
    <col min="10001" max="10240" style="49" width="9.140625" collapsed="true"/>
    <col min="10241" max="10241" customWidth="true" style="49" width="40.7109375" collapsed="true"/>
    <col min="10242" max="10242" customWidth="true" style="49" width="8.7109375" collapsed="true"/>
    <col min="10243" max="10243" customWidth="true" style="49" width="17.7109375" collapsed="true"/>
    <col min="10244" max="10244" customWidth="true" style="49" width="6.7109375" collapsed="true"/>
    <col min="10245" max="10245" customWidth="true" style="49" width="21.7109375" collapsed="true"/>
    <col min="10246" max="10246" customWidth="true" style="49" width="14.7109375" collapsed="true"/>
    <col min="10247" max="10247" customWidth="true" style="49" width="16.7109375" collapsed="true"/>
    <col min="10248" max="10248" customWidth="true" style="49" width="35.7109375" collapsed="true"/>
    <col min="10249" max="10249" customWidth="true" style="49" width="23.7109375" collapsed="true"/>
    <col min="10250" max="10250" customWidth="true" style="49" width="103.7109375" collapsed="true"/>
    <col min="10251" max="10252" customWidth="true" style="49" width="16.7109375" collapsed="true"/>
    <col min="10253" max="10253" customWidth="true" style="49" width="18.7109375" collapsed="true"/>
    <col min="10254" max="10254" customWidth="true" style="49" width="10.7109375" collapsed="true"/>
    <col min="10255" max="10256" customWidth="true" hidden="true" style="49" width="0.0" collapsed="true"/>
    <col min="10257" max="10496" style="49" width="9.140625" collapsed="true"/>
    <col min="10497" max="10497" customWidth="true" style="49" width="40.7109375" collapsed="true"/>
    <col min="10498" max="10498" customWidth="true" style="49" width="8.7109375" collapsed="true"/>
    <col min="10499" max="10499" customWidth="true" style="49" width="17.7109375" collapsed="true"/>
    <col min="10500" max="10500" customWidth="true" style="49" width="6.7109375" collapsed="true"/>
    <col min="10501" max="10501" customWidth="true" style="49" width="21.7109375" collapsed="true"/>
    <col min="10502" max="10502" customWidth="true" style="49" width="14.7109375" collapsed="true"/>
    <col min="10503" max="10503" customWidth="true" style="49" width="16.7109375" collapsed="true"/>
    <col min="10504" max="10504" customWidth="true" style="49" width="35.7109375" collapsed="true"/>
    <col min="10505" max="10505" customWidth="true" style="49" width="23.7109375" collapsed="true"/>
    <col min="10506" max="10506" customWidth="true" style="49" width="103.7109375" collapsed="true"/>
    <col min="10507" max="10508" customWidth="true" style="49" width="16.7109375" collapsed="true"/>
    <col min="10509" max="10509" customWidth="true" style="49" width="18.7109375" collapsed="true"/>
    <col min="10510" max="10510" customWidth="true" style="49" width="10.7109375" collapsed="true"/>
    <col min="10511" max="10512" customWidth="true" hidden="true" style="49" width="0.0" collapsed="true"/>
    <col min="10513" max="10752" style="49" width="9.140625" collapsed="true"/>
    <col min="10753" max="10753" customWidth="true" style="49" width="40.7109375" collapsed="true"/>
    <col min="10754" max="10754" customWidth="true" style="49" width="8.7109375" collapsed="true"/>
    <col min="10755" max="10755" customWidth="true" style="49" width="17.7109375" collapsed="true"/>
    <col min="10756" max="10756" customWidth="true" style="49" width="6.7109375" collapsed="true"/>
    <col min="10757" max="10757" customWidth="true" style="49" width="21.7109375" collapsed="true"/>
    <col min="10758" max="10758" customWidth="true" style="49" width="14.7109375" collapsed="true"/>
    <col min="10759" max="10759" customWidth="true" style="49" width="16.7109375" collapsed="true"/>
    <col min="10760" max="10760" customWidth="true" style="49" width="35.7109375" collapsed="true"/>
    <col min="10761" max="10761" customWidth="true" style="49" width="23.7109375" collapsed="true"/>
    <col min="10762" max="10762" customWidth="true" style="49" width="103.7109375" collapsed="true"/>
    <col min="10763" max="10764" customWidth="true" style="49" width="16.7109375" collapsed="true"/>
    <col min="10765" max="10765" customWidth="true" style="49" width="18.7109375" collapsed="true"/>
    <col min="10766" max="10766" customWidth="true" style="49" width="10.7109375" collapsed="true"/>
    <col min="10767" max="10768" customWidth="true" hidden="true" style="49" width="0.0" collapsed="true"/>
    <col min="10769" max="11008" style="49" width="9.140625" collapsed="true"/>
    <col min="11009" max="11009" customWidth="true" style="49" width="40.7109375" collapsed="true"/>
    <col min="11010" max="11010" customWidth="true" style="49" width="8.7109375" collapsed="true"/>
    <col min="11011" max="11011" customWidth="true" style="49" width="17.7109375" collapsed="true"/>
    <col min="11012" max="11012" customWidth="true" style="49" width="6.7109375" collapsed="true"/>
    <col min="11013" max="11013" customWidth="true" style="49" width="21.7109375" collapsed="true"/>
    <col min="11014" max="11014" customWidth="true" style="49" width="14.7109375" collapsed="true"/>
    <col min="11015" max="11015" customWidth="true" style="49" width="16.7109375" collapsed="true"/>
    <col min="11016" max="11016" customWidth="true" style="49" width="35.7109375" collapsed="true"/>
    <col min="11017" max="11017" customWidth="true" style="49" width="23.7109375" collapsed="true"/>
    <col min="11018" max="11018" customWidth="true" style="49" width="103.7109375" collapsed="true"/>
    <col min="11019" max="11020" customWidth="true" style="49" width="16.7109375" collapsed="true"/>
    <col min="11021" max="11021" customWidth="true" style="49" width="18.7109375" collapsed="true"/>
    <col min="11022" max="11022" customWidth="true" style="49" width="10.7109375" collapsed="true"/>
    <col min="11023" max="11024" customWidth="true" hidden="true" style="49" width="0.0" collapsed="true"/>
    <col min="11025" max="11264" style="49" width="9.140625" collapsed="true"/>
    <col min="11265" max="11265" customWidth="true" style="49" width="40.7109375" collapsed="true"/>
    <col min="11266" max="11266" customWidth="true" style="49" width="8.7109375" collapsed="true"/>
    <col min="11267" max="11267" customWidth="true" style="49" width="17.7109375" collapsed="true"/>
    <col min="11268" max="11268" customWidth="true" style="49" width="6.7109375" collapsed="true"/>
    <col min="11269" max="11269" customWidth="true" style="49" width="21.7109375" collapsed="true"/>
    <col min="11270" max="11270" customWidth="true" style="49" width="14.7109375" collapsed="true"/>
    <col min="11271" max="11271" customWidth="true" style="49" width="16.7109375" collapsed="true"/>
    <col min="11272" max="11272" customWidth="true" style="49" width="35.7109375" collapsed="true"/>
    <col min="11273" max="11273" customWidth="true" style="49" width="23.7109375" collapsed="true"/>
    <col min="11274" max="11274" customWidth="true" style="49" width="103.7109375" collapsed="true"/>
    <col min="11275" max="11276" customWidth="true" style="49" width="16.7109375" collapsed="true"/>
    <col min="11277" max="11277" customWidth="true" style="49" width="18.7109375" collapsed="true"/>
    <col min="11278" max="11278" customWidth="true" style="49" width="10.7109375" collapsed="true"/>
    <col min="11279" max="11280" customWidth="true" hidden="true" style="49" width="0.0" collapsed="true"/>
    <col min="11281" max="11520" style="49" width="9.140625" collapsed="true"/>
    <col min="11521" max="11521" customWidth="true" style="49" width="40.7109375" collapsed="true"/>
    <col min="11522" max="11522" customWidth="true" style="49" width="8.7109375" collapsed="true"/>
    <col min="11523" max="11523" customWidth="true" style="49" width="17.7109375" collapsed="true"/>
    <col min="11524" max="11524" customWidth="true" style="49" width="6.7109375" collapsed="true"/>
    <col min="11525" max="11525" customWidth="true" style="49" width="21.7109375" collapsed="true"/>
    <col min="11526" max="11526" customWidth="true" style="49" width="14.7109375" collapsed="true"/>
    <col min="11527" max="11527" customWidth="true" style="49" width="16.7109375" collapsed="true"/>
    <col min="11528" max="11528" customWidth="true" style="49" width="35.7109375" collapsed="true"/>
    <col min="11529" max="11529" customWidth="true" style="49" width="23.7109375" collapsed="true"/>
    <col min="11530" max="11530" customWidth="true" style="49" width="103.7109375" collapsed="true"/>
    <col min="11531" max="11532" customWidth="true" style="49" width="16.7109375" collapsed="true"/>
    <col min="11533" max="11533" customWidth="true" style="49" width="18.7109375" collapsed="true"/>
    <col min="11534" max="11534" customWidth="true" style="49" width="10.7109375" collapsed="true"/>
    <col min="11535" max="11536" customWidth="true" hidden="true" style="49" width="0.0" collapsed="true"/>
    <col min="11537" max="11776" style="49" width="9.140625" collapsed="true"/>
    <col min="11777" max="11777" customWidth="true" style="49" width="40.7109375" collapsed="true"/>
    <col min="11778" max="11778" customWidth="true" style="49" width="8.7109375" collapsed="true"/>
    <col min="11779" max="11779" customWidth="true" style="49" width="17.7109375" collapsed="true"/>
    <col min="11780" max="11780" customWidth="true" style="49" width="6.7109375" collapsed="true"/>
    <col min="11781" max="11781" customWidth="true" style="49" width="21.7109375" collapsed="true"/>
    <col min="11782" max="11782" customWidth="true" style="49" width="14.7109375" collapsed="true"/>
    <col min="11783" max="11783" customWidth="true" style="49" width="16.7109375" collapsed="true"/>
    <col min="11784" max="11784" customWidth="true" style="49" width="35.7109375" collapsed="true"/>
    <col min="11785" max="11785" customWidth="true" style="49" width="23.7109375" collapsed="true"/>
    <col min="11786" max="11786" customWidth="true" style="49" width="103.7109375" collapsed="true"/>
    <col min="11787" max="11788" customWidth="true" style="49" width="16.7109375" collapsed="true"/>
    <col min="11789" max="11789" customWidth="true" style="49" width="18.7109375" collapsed="true"/>
    <col min="11790" max="11790" customWidth="true" style="49" width="10.7109375" collapsed="true"/>
    <col min="11791" max="11792" customWidth="true" hidden="true" style="49" width="0.0" collapsed="true"/>
    <col min="11793" max="12032" style="49" width="9.140625" collapsed="true"/>
    <col min="12033" max="12033" customWidth="true" style="49" width="40.7109375" collapsed="true"/>
    <col min="12034" max="12034" customWidth="true" style="49" width="8.7109375" collapsed="true"/>
    <col min="12035" max="12035" customWidth="true" style="49" width="17.7109375" collapsed="true"/>
    <col min="12036" max="12036" customWidth="true" style="49" width="6.7109375" collapsed="true"/>
    <col min="12037" max="12037" customWidth="true" style="49" width="21.7109375" collapsed="true"/>
    <col min="12038" max="12038" customWidth="true" style="49" width="14.7109375" collapsed="true"/>
    <col min="12039" max="12039" customWidth="true" style="49" width="16.7109375" collapsed="true"/>
    <col min="12040" max="12040" customWidth="true" style="49" width="35.7109375" collapsed="true"/>
    <col min="12041" max="12041" customWidth="true" style="49" width="23.7109375" collapsed="true"/>
    <col min="12042" max="12042" customWidth="true" style="49" width="103.7109375" collapsed="true"/>
    <col min="12043" max="12044" customWidth="true" style="49" width="16.7109375" collapsed="true"/>
    <col min="12045" max="12045" customWidth="true" style="49" width="18.7109375" collapsed="true"/>
    <col min="12046" max="12046" customWidth="true" style="49" width="10.7109375" collapsed="true"/>
    <col min="12047" max="12048" customWidth="true" hidden="true" style="49" width="0.0" collapsed="true"/>
    <col min="12049" max="12288" style="49" width="9.140625" collapsed="true"/>
    <col min="12289" max="12289" customWidth="true" style="49" width="40.7109375" collapsed="true"/>
    <col min="12290" max="12290" customWidth="true" style="49" width="8.7109375" collapsed="true"/>
    <col min="12291" max="12291" customWidth="true" style="49" width="17.7109375" collapsed="true"/>
    <col min="12292" max="12292" customWidth="true" style="49" width="6.7109375" collapsed="true"/>
    <col min="12293" max="12293" customWidth="true" style="49" width="21.7109375" collapsed="true"/>
    <col min="12294" max="12294" customWidth="true" style="49" width="14.7109375" collapsed="true"/>
    <col min="12295" max="12295" customWidth="true" style="49" width="16.7109375" collapsed="true"/>
    <col min="12296" max="12296" customWidth="true" style="49" width="35.7109375" collapsed="true"/>
    <col min="12297" max="12297" customWidth="true" style="49" width="23.7109375" collapsed="true"/>
    <col min="12298" max="12298" customWidth="true" style="49" width="103.7109375" collapsed="true"/>
    <col min="12299" max="12300" customWidth="true" style="49" width="16.7109375" collapsed="true"/>
    <col min="12301" max="12301" customWidth="true" style="49" width="18.7109375" collapsed="true"/>
    <col min="12302" max="12302" customWidth="true" style="49" width="10.7109375" collapsed="true"/>
    <col min="12303" max="12304" customWidth="true" hidden="true" style="49" width="0.0" collapsed="true"/>
    <col min="12305" max="12544" style="49" width="9.140625" collapsed="true"/>
    <col min="12545" max="12545" customWidth="true" style="49" width="40.7109375" collapsed="true"/>
    <col min="12546" max="12546" customWidth="true" style="49" width="8.7109375" collapsed="true"/>
    <col min="12547" max="12547" customWidth="true" style="49" width="17.7109375" collapsed="true"/>
    <col min="12548" max="12548" customWidth="true" style="49" width="6.7109375" collapsed="true"/>
    <col min="12549" max="12549" customWidth="true" style="49" width="21.7109375" collapsed="true"/>
    <col min="12550" max="12550" customWidth="true" style="49" width="14.7109375" collapsed="true"/>
    <col min="12551" max="12551" customWidth="true" style="49" width="16.7109375" collapsed="true"/>
    <col min="12552" max="12552" customWidth="true" style="49" width="35.7109375" collapsed="true"/>
    <col min="12553" max="12553" customWidth="true" style="49" width="23.7109375" collapsed="true"/>
    <col min="12554" max="12554" customWidth="true" style="49" width="103.7109375" collapsed="true"/>
    <col min="12555" max="12556" customWidth="true" style="49" width="16.7109375" collapsed="true"/>
    <col min="12557" max="12557" customWidth="true" style="49" width="18.7109375" collapsed="true"/>
    <col min="12558" max="12558" customWidth="true" style="49" width="10.7109375" collapsed="true"/>
    <col min="12559" max="12560" customWidth="true" hidden="true" style="49" width="0.0" collapsed="true"/>
    <col min="12561" max="12800" style="49" width="9.140625" collapsed="true"/>
    <col min="12801" max="12801" customWidth="true" style="49" width="40.7109375" collapsed="true"/>
    <col min="12802" max="12802" customWidth="true" style="49" width="8.7109375" collapsed="true"/>
    <col min="12803" max="12803" customWidth="true" style="49" width="17.7109375" collapsed="true"/>
    <col min="12804" max="12804" customWidth="true" style="49" width="6.7109375" collapsed="true"/>
    <col min="12805" max="12805" customWidth="true" style="49" width="21.7109375" collapsed="true"/>
    <col min="12806" max="12806" customWidth="true" style="49" width="14.7109375" collapsed="true"/>
    <col min="12807" max="12807" customWidth="true" style="49" width="16.7109375" collapsed="true"/>
    <col min="12808" max="12808" customWidth="true" style="49" width="35.7109375" collapsed="true"/>
    <col min="12809" max="12809" customWidth="true" style="49" width="23.7109375" collapsed="true"/>
    <col min="12810" max="12810" customWidth="true" style="49" width="103.7109375" collapsed="true"/>
    <col min="12811" max="12812" customWidth="true" style="49" width="16.7109375" collapsed="true"/>
    <col min="12813" max="12813" customWidth="true" style="49" width="18.7109375" collapsed="true"/>
    <col min="12814" max="12814" customWidth="true" style="49" width="10.7109375" collapsed="true"/>
    <col min="12815" max="12816" customWidth="true" hidden="true" style="49" width="0.0" collapsed="true"/>
    <col min="12817" max="13056" style="49" width="9.140625" collapsed="true"/>
    <col min="13057" max="13057" customWidth="true" style="49" width="40.7109375" collapsed="true"/>
    <col min="13058" max="13058" customWidth="true" style="49" width="8.7109375" collapsed="true"/>
    <col min="13059" max="13059" customWidth="true" style="49" width="17.7109375" collapsed="true"/>
    <col min="13060" max="13060" customWidth="true" style="49" width="6.7109375" collapsed="true"/>
    <col min="13061" max="13061" customWidth="true" style="49" width="21.7109375" collapsed="true"/>
    <col min="13062" max="13062" customWidth="true" style="49" width="14.7109375" collapsed="true"/>
    <col min="13063" max="13063" customWidth="true" style="49" width="16.7109375" collapsed="true"/>
    <col min="13064" max="13064" customWidth="true" style="49" width="35.7109375" collapsed="true"/>
    <col min="13065" max="13065" customWidth="true" style="49" width="23.7109375" collapsed="true"/>
    <col min="13066" max="13066" customWidth="true" style="49" width="103.7109375" collapsed="true"/>
    <col min="13067" max="13068" customWidth="true" style="49" width="16.7109375" collapsed="true"/>
    <col min="13069" max="13069" customWidth="true" style="49" width="18.7109375" collapsed="true"/>
    <col min="13070" max="13070" customWidth="true" style="49" width="10.7109375" collapsed="true"/>
    <col min="13071" max="13072" customWidth="true" hidden="true" style="49" width="0.0" collapsed="true"/>
    <col min="13073" max="13312" style="49" width="9.140625" collapsed="true"/>
    <col min="13313" max="13313" customWidth="true" style="49" width="40.7109375" collapsed="true"/>
    <col min="13314" max="13314" customWidth="true" style="49" width="8.7109375" collapsed="true"/>
    <col min="13315" max="13315" customWidth="true" style="49" width="17.7109375" collapsed="true"/>
    <col min="13316" max="13316" customWidth="true" style="49" width="6.7109375" collapsed="true"/>
    <col min="13317" max="13317" customWidth="true" style="49" width="21.7109375" collapsed="true"/>
    <col min="13318" max="13318" customWidth="true" style="49" width="14.7109375" collapsed="true"/>
    <col min="13319" max="13319" customWidth="true" style="49" width="16.7109375" collapsed="true"/>
    <col min="13320" max="13320" customWidth="true" style="49" width="35.7109375" collapsed="true"/>
    <col min="13321" max="13321" customWidth="true" style="49" width="23.7109375" collapsed="true"/>
    <col min="13322" max="13322" customWidth="true" style="49" width="103.7109375" collapsed="true"/>
    <col min="13323" max="13324" customWidth="true" style="49" width="16.7109375" collapsed="true"/>
    <col min="13325" max="13325" customWidth="true" style="49" width="18.7109375" collapsed="true"/>
    <col min="13326" max="13326" customWidth="true" style="49" width="10.7109375" collapsed="true"/>
    <col min="13327" max="13328" customWidth="true" hidden="true" style="49" width="0.0" collapsed="true"/>
    <col min="13329" max="13568" style="49" width="9.140625" collapsed="true"/>
    <col min="13569" max="13569" customWidth="true" style="49" width="40.7109375" collapsed="true"/>
    <col min="13570" max="13570" customWidth="true" style="49" width="8.7109375" collapsed="true"/>
    <col min="13571" max="13571" customWidth="true" style="49" width="17.7109375" collapsed="true"/>
    <col min="13572" max="13572" customWidth="true" style="49" width="6.7109375" collapsed="true"/>
    <col min="13573" max="13573" customWidth="true" style="49" width="21.7109375" collapsed="true"/>
    <col min="13574" max="13574" customWidth="true" style="49" width="14.7109375" collapsed="true"/>
    <col min="13575" max="13575" customWidth="true" style="49" width="16.7109375" collapsed="true"/>
    <col min="13576" max="13576" customWidth="true" style="49" width="35.7109375" collapsed="true"/>
    <col min="13577" max="13577" customWidth="true" style="49" width="23.7109375" collapsed="true"/>
    <col min="13578" max="13578" customWidth="true" style="49" width="103.7109375" collapsed="true"/>
    <col min="13579" max="13580" customWidth="true" style="49" width="16.7109375" collapsed="true"/>
    <col min="13581" max="13581" customWidth="true" style="49" width="18.7109375" collapsed="true"/>
    <col min="13582" max="13582" customWidth="true" style="49" width="10.7109375" collapsed="true"/>
    <col min="13583" max="13584" customWidth="true" hidden="true" style="49" width="0.0" collapsed="true"/>
    <col min="13585" max="13824" style="49" width="9.140625" collapsed="true"/>
    <col min="13825" max="13825" customWidth="true" style="49" width="40.7109375" collapsed="true"/>
    <col min="13826" max="13826" customWidth="true" style="49" width="8.7109375" collapsed="true"/>
    <col min="13827" max="13827" customWidth="true" style="49" width="17.7109375" collapsed="true"/>
    <col min="13828" max="13828" customWidth="true" style="49" width="6.7109375" collapsed="true"/>
    <col min="13829" max="13829" customWidth="true" style="49" width="21.7109375" collapsed="true"/>
    <col min="13830" max="13830" customWidth="true" style="49" width="14.7109375" collapsed="true"/>
    <col min="13831" max="13831" customWidth="true" style="49" width="16.7109375" collapsed="true"/>
    <col min="13832" max="13832" customWidth="true" style="49" width="35.7109375" collapsed="true"/>
    <col min="13833" max="13833" customWidth="true" style="49" width="23.7109375" collapsed="true"/>
    <col min="13834" max="13834" customWidth="true" style="49" width="103.7109375" collapsed="true"/>
    <col min="13835" max="13836" customWidth="true" style="49" width="16.7109375" collapsed="true"/>
    <col min="13837" max="13837" customWidth="true" style="49" width="18.7109375" collapsed="true"/>
    <col min="13838" max="13838" customWidth="true" style="49" width="10.7109375" collapsed="true"/>
    <col min="13839" max="13840" customWidth="true" hidden="true" style="49" width="0.0" collapsed="true"/>
    <col min="13841" max="14080" style="49" width="9.140625" collapsed="true"/>
    <col min="14081" max="14081" customWidth="true" style="49" width="40.7109375" collapsed="true"/>
    <col min="14082" max="14082" customWidth="true" style="49" width="8.7109375" collapsed="true"/>
    <col min="14083" max="14083" customWidth="true" style="49" width="17.7109375" collapsed="true"/>
    <col min="14084" max="14084" customWidth="true" style="49" width="6.7109375" collapsed="true"/>
    <col min="14085" max="14085" customWidth="true" style="49" width="21.7109375" collapsed="true"/>
    <col min="14086" max="14086" customWidth="true" style="49" width="14.7109375" collapsed="true"/>
    <col min="14087" max="14087" customWidth="true" style="49" width="16.7109375" collapsed="true"/>
    <col min="14088" max="14088" customWidth="true" style="49" width="35.7109375" collapsed="true"/>
    <col min="14089" max="14089" customWidth="true" style="49" width="23.7109375" collapsed="true"/>
    <col min="14090" max="14090" customWidth="true" style="49" width="103.7109375" collapsed="true"/>
    <col min="14091" max="14092" customWidth="true" style="49" width="16.7109375" collapsed="true"/>
    <col min="14093" max="14093" customWidth="true" style="49" width="18.7109375" collapsed="true"/>
    <col min="14094" max="14094" customWidth="true" style="49" width="10.7109375" collapsed="true"/>
    <col min="14095" max="14096" customWidth="true" hidden="true" style="49" width="0.0" collapsed="true"/>
    <col min="14097" max="14336" style="49" width="9.140625" collapsed="true"/>
    <col min="14337" max="14337" customWidth="true" style="49" width="40.7109375" collapsed="true"/>
    <col min="14338" max="14338" customWidth="true" style="49" width="8.7109375" collapsed="true"/>
    <col min="14339" max="14339" customWidth="true" style="49" width="17.7109375" collapsed="true"/>
    <col min="14340" max="14340" customWidth="true" style="49" width="6.7109375" collapsed="true"/>
    <col min="14341" max="14341" customWidth="true" style="49" width="21.7109375" collapsed="true"/>
    <col min="14342" max="14342" customWidth="true" style="49" width="14.7109375" collapsed="true"/>
    <col min="14343" max="14343" customWidth="true" style="49" width="16.7109375" collapsed="true"/>
    <col min="14344" max="14344" customWidth="true" style="49" width="35.7109375" collapsed="true"/>
    <col min="14345" max="14345" customWidth="true" style="49" width="23.7109375" collapsed="true"/>
    <col min="14346" max="14346" customWidth="true" style="49" width="103.7109375" collapsed="true"/>
    <col min="14347" max="14348" customWidth="true" style="49" width="16.7109375" collapsed="true"/>
    <col min="14349" max="14349" customWidth="true" style="49" width="18.7109375" collapsed="true"/>
    <col min="14350" max="14350" customWidth="true" style="49" width="10.7109375" collapsed="true"/>
    <col min="14351" max="14352" customWidth="true" hidden="true" style="49" width="0.0" collapsed="true"/>
    <col min="14353" max="14592" style="49" width="9.140625" collapsed="true"/>
    <col min="14593" max="14593" customWidth="true" style="49" width="40.7109375" collapsed="true"/>
    <col min="14594" max="14594" customWidth="true" style="49" width="8.7109375" collapsed="true"/>
    <col min="14595" max="14595" customWidth="true" style="49" width="17.7109375" collapsed="true"/>
    <col min="14596" max="14596" customWidth="true" style="49" width="6.7109375" collapsed="true"/>
    <col min="14597" max="14597" customWidth="true" style="49" width="21.7109375" collapsed="true"/>
    <col min="14598" max="14598" customWidth="true" style="49" width="14.7109375" collapsed="true"/>
    <col min="14599" max="14599" customWidth="true" style="49" width="16.7109375" collapsed="true"/>
    <col min="14600" max="14600" customWidth="true" style="49" width="35.7109375" collapsed="true"/>
    <col min="14601" max="14601" customWidth="true" style="49" width="23.7109375" collapsed="true"/>
    <col min="14602" max="14602" customWidth="true" style="49" width="103.7109375" collapsed="true"/>
    <col min="14603" max="14604" customWidth="true" style="49" width="16.7109375" collapsed="true"/>
    <col min="14605" max="14605" customWidth="true" style="49" width="18.7109375" collapsed="true"/>
    <col min="14606" max="14606" customWidth="true" style="49" width="10.7109375" collapsed="true"/>
    <col min="14607" max="14608" customWidth="true" hidden="true" style="49" width="0.0" collapsed="true"/>
    <col min="14609" max="14848" style="49" width="9.140625" collapsed="true"/>
    <col min="14849" max="14849" customWidth="true" style="49" width="40.7109375" collapsed="true"/>
    <col min="14850" max="14850" customWidth="true" style="49" width="8.7109375" collapsed="true"/>
    <col min="14851" max="14851" customWidth="true" style="49" width="17.7109375" collapsed="true"/>
    <col min="14852" max="14852" customWidth="true" style="49" width="6.7109375" collapsed="true"/>
    <col min="14853" max="14853" customWidth="true" style="49" width="21.7109375" collapsed="true"/>
    <col min="14854" max="14854" customWidth="true" style="49" width="14.7109375" collapsed="true"/>
    <col min="14855" max="14855" customWidth="true" style="49" width="16.7109375" collapsed="true"/>
    <col min="14856" max="14856" customWidth="true" style="49" width="35.7109375" collapsed="true"/>
    <col min="14857" max="14857" customWidth="true" style="49" width="23.7109375" collapsed="true"/>
    <col min="14858" max="14858" customWidth="true" style="49" width="103.7109375" collapsed="true"/>
    <col min="14859" max="14860" customWidth="true" style="49" width="16.7109375" collapsed="true"/>
    <col min="14861" max="14861" customWidth="true" style="49" width="18.7109375" collapsed="true"/>
    <col min="14862" max="14862" customWidth="true" style="49" width="10.7109375" collapsed="true"/>
    <col min="14863" max="14864" customWidth="true" hidden="true" style="49" width="0.0" collapsed="true"/>
    <col min="14865" max="15104" style="49" width="9.140625" collapsed="true"/>
    <col min="15105" max="15105" customWidth="true" style="49" width="40.7109375" collapsed="true"/>
    <col min="15106" max="15106" customWidth="true" style="49" width="8.7109375" collapsed="true"/>
    <col min="15107" max="15107" customWidth="true" style="49" width="17.7109375" collapsed="true"/>
    <col min="15108" max="15108" customWidth="true" style="49" width="6.7109375" collapsed="true"/>
    <col min="15109" max="15109" customWidth="true" style="49" width="21.7109375" collapsed="true"/>
    <col min="15110" max="15110" customWidth="true" style="49" width="14.7109375" collapsed="true"/>
    <col min="15111" max="15111" customWidth="true" style="49" width="16.7109375" collapsed="true"/>
    <col min="15112" max="15112" customWidth="true" style="49" width="35.7109375" collapsed="true"/>
    <col min="15113" max="15113" customWidth="true" style="49" width="23.7109375" collapsed="true"/>
    <col min="15114" max="15114" customWidth="true" style="49" width="103.7109375" collapsed="true"/>
    <col min="15115" max="15116" customWidth="true" style="49" width="16.7109375" collapsed="true"/>
    <col min="15117" max="15117" customWidth="true" style="49" width="18.7109375" collapsed="true"/>
    <col min="15118" max="15118" customWidth="true" style="49" width="10.7109375" collapsed="true"/>
    <col min="15119" max="15120" customWidth="true" hidden="true" style="49" width="0.0" collapsed="true"/>
    <col min="15121" max="15360" style="49" width="9.140625" collapsed="true"/>
    <col min="15361" max="15361" customWidth="true" style="49" width="40.7109375" collapsed="true"/>
    <col min="15362" max="15362" customWidth="true" style="49" width="8.7109375" collapsed="true"/>
    <col min="15363" max="15363" customWidth="true" style="49" width="17.7109375" collapsed="true"/>
    <col min="15364" max="15364" customWidth="true" style="49" width="6.7109375" collapsed="true"/>
    <col min="15365" max="15365" customWidth="true" style="49" width="21.7109375" collapsed="true"/>
    <col min="15366" max="15366" customWidth="true" style="49" width="14.7109375" collapsed="true"/>
    <col min="15367" max="15367" customWidth="true" style="49" width="16.7109375" collapsed="true"/>
    <col min="15368" max="15368" customWidth="true" style="49" width="35.7109375" collapsed="true"/>
    <col min="15369" max="15369" customWidth="true" style="49" width="23.7109375" collapsed="true"/>
    <col min="15370" max="15370" customWidth="true" style="49" width="103.7109375" collapsed="true"/>
    <col min="15371" max="15372" customWidth="true" style="49" width="16.7109375" collapsed="true"/>
    <col min="15373" max="15373" customWidth="true" style="49" width="18.7109375" collapsed="true"/>
    <col min="15374" max="15374" customWidth="true" style="49" width="10.7109375" collapsed="true"/>
    <col min="15375" max="15376" customWidth="true" hidden="true" style="49" width="0.0" collapsed="true"/>
    <col min="15377" max="15616" style="49" width="9.140625" collapsed="true"/>
    <col min="15617" max="15617" customWidth="true" style="49" width="40.7109375" collapsed="true"/>
    <col min="15618" max="15618" customWidth="true" style="49" width="8.7109375" collapsed="true"/>
    <col min="15619" max="15619" customWidth="true" style="49" width="17.7109375" collapsed="true"/>
    <col min="15620" max="15620" customWidth="true" style="49" width="6.7109375" collapsed="true"/>
    <col min="15621" max="15621" customWidth="true" style="49" width="21.7109375" collapsed="true"/>
    <col min="15622" max="15622" customWidth="true" style="49" width="14.7109375" collapsed="true"/>
    <col min="15623" max="15623" customWidth="true" style="49" width="16.7109375" collapsed="true"/>
    <col min="15624" max="15624" customWidth="true" style="49" width="35.7109375" collapsed="true"/>
    <col min="15625" max="15625" customWidth="true" style="49" width="23.7109375" collapsed="true"/>
    <col min="15626" max="15626" customWidth="true" style="49" width="103.7109375" collapsed="true"/>
    <col min="15627" max="15628" customWidth="true" style="49" width="16.7109375" collapsed="true"/>
    <col min="15629" max="15629" customWidth="true" style="49" width="18.7109375" collapsed="true"/>
    <col min="15630" max="15630" customWidth="true" style="49" width="10.7109375" collapsed="true"/>
    <col min="15631" max="15632" customWidth="true" hidden="true" style="49" width="0.0" collapsed="true"/>
    <col min="15633" max="15872" style="49" width="9.140625" collapsed="true"/>
    <col min="15873" max="15873" customWidth="true" style="49" width="40.7109375" collapsed="true"/>
    <col min="15874" max="15874" customWidth="true" style="49" width="8.7109375" collapsed="true"/>
    <col min="15875" max="15875" customWidth="true" style="49" width="17.7109375" collapsed="true"/>
    <col min="15876" max="15876" customWidth="true" style="49" width="6.7109375" collapsed="true"/>
    <col min="15877" max="15877" customWidth="true" style="49" width="21.7109375" collapsed="true"/>
    <col min="15878" max="15878" customWidth="true" style="49" width="14.7109375" collapsed="true"/>
    <col min="15879" max="15879" customWidth="true" style="49" width="16.7109375" collapsed="true"/>
    <col min="15880" max="15880" customWidth="true" style="49" width="35.7109375" collapsed="true"/>
    <col min="15881" max="15881" customWidth="true" style="49" width="23.7109375" collapsed="true"/>
    <col min="15882" max="15882" customWidth="true" style="49" width="103.7109375" collapsed="true"/>
    <col min="15883" max="15884" customWidth="true" style="49" width="16.7109375" collapsed="true"/>
    <col min="15885" max="15885" customWidth="true" style="49" width="18.7109375" collapsed="true"/>
    <col min="15886" max="15886" customWidth="true" style="49" width="10.7109375" collapsed="true"/>
    <col min="15887" max="15888" customWidth="true" hidden="true" style="49" width="0.0" collapsed="true"/>
    <col min="15889" max="16128" style="49" width="9.140625" collapsed="true"/>
    <col min="16129" max="16129" customWidth="true" style="49" width="40.7109375" collapsed="true"/>
    <col min="16130" max="16130" customWidth="true" style="49" width="8.7109375" collapsed="true"/>
    <col min="16131" max="16131" customWidth="true" style="49" width="17.7109375" collapsed="true"/>
    <col min="16132" max="16132" customWidth="true" style="49" width="6.7109375" collapsed="true"/>
    <col min="16133" max="16133" customWidth="true" style="49" width="21.7109375" collapsed="true"/>
    <col min="16134" max="16134" customWidth="true" style="49" width="14.7109375" collapsed="true"/>
    <col min="16135" max="16135" customWidth="true" style="49" width="16.7109375" collapsed="true"/>
    <col min="16136" max="16136" customWidth="true" style="49" width="35.7109375" collapsed="true"/>
    <col min="16137" max="16137" customWidth="true" style="49" width="23.7109375" collapsed="true"/>
    <col min="16138" max="16138" customWidth="true" style="49" width="103.7109375" collapsed="true"/>
    <col min="16139" max="16140" customWidth="true" style="49" width="16.7109375" collapsed="true"/>
    <col min="16141" max="16141" customWidth="true" style="49" width="18.7109375" collapsed="true"/>
    <col min="16142" max="16142" customWidth="true" style="49" width="10.7109375" collapsed="true"/>
    <col min="16143" max="16144" customWidth="true" hidden="true" style="49" width="0.0" collapsed="true"/>
    <col min="16145" max="16384" style="49" width="9.140625" collapsed="true"/>
  </cols>
  <sheetData>
    <row r="1" spans="1:16" s="1" customFormat="1" ht="16.5" thickTop="1" thickBot="1" x14ac:dyDescent="0.3">
      <c r="A1" s="1" t="s">
        <v>188</v>
      </c>
      <c r="B1" s="1" t="s">
        <v>189</v>
      </c>
      <c r="C1" s="1" t="s">
        <v>190</v>
      </c>
      <c r="D1" s="1" t="s">
        <v>167</v>
      </c>
      <c r="E1" s="1" t="s">
        <v>191</v>
      </c>
      <c r="F1" s="1" t="s">
        <v>192</v>
      </c>
      <c r="G1" s="1" t="s">
        <v>193</v>
      </c>
      <c r="H1" s="1" t="s">
        <v>194</v>
      </c>
      <c r="I1" s="1" t="s">
        <v>195</v>
      </c>
      <c r="J1" s="1" t="s">
        <v>196</v>
      </c>
      <c r="K1" s="1" t="s">
        <v>197</v>
      </c>
      <c r="L1" s="1" t="s">
        <v>198</v>
      </c>
      <c r="M1" s="1" t="s">
        <v>199</v>
      </c>
      <c r="N1" s="1" t="s">
        <v>3</v>
      </c>
      <c r="O1" s="1" t="s">
        <v>208</v>
      </c>
      <c r="P1" s="1" t="s">
        <v>209</v>
      </c>
    </row>
    <row r="2" spans="1:16" customFormat="1" ht="15.75" thickTop="1" x14ac:dyDescent="0.25"/>
    <row r="3" spans="1:16" customFormat="1" x14ac:dyDescent="0.25"/>
    <row r="4" spans="1:16" customFormat="1" x14ac:dyDescent="0.25"/>
    <row r="5" spans="1:16" customFormat="1" x14ac:dyDescent="0.25"/>
    <row r="6" spans="1:16" customFormat="1" x14ac:dyDescent="0.25"/>
    <row r="7" spans="1:16" customFormat="1" x14ac:dyDescent="0.25"/>
    <row r="8" spans="1:16" customFormat="1" x14ac:dyDescent="0.25"/>
    <row r="9" spans="1:16" customFormat="1" x14ac:dyDescent="0.25"/>
    <row r="10" spans="1:16" customFormat="1" x14ac:dyDescent="0.25"/>
    <row r="11" spans="1:16" customFormat="1" x14ac:dyDescent="0.25"/>
    <row r="12" spans="1:16" customFormat="1" x14ac:dyDescent="0.25"/>
    <row r="13" spans="1:16" customFormat="1" x14ac:dyDescent="0.25"/>
    <row r="14" spans="1:16" customFormat="1" x14ac:dyDescent="0.25"/>
    <row r="15" spans="1:16" customFormat="1" x14ac:dyDescent="0.25"/>
    <row r="16" spans="1: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</sheetData>
  <dataValidations count="1">
    <dataValidation type="list" allowBlank="1" showInputMessage="1" showErrorMessage="1" sqref="N983042:N983486 JJ983042:JJ983486 TF983042:TF983486 ADB983042:ADB983486 AMX983042:AMX983486 AWT983042:AWT983486 BGP983042:BGP983486 BQL983042:BQL983486 CAH983042:CAH983486 CKD983042:CKD983486 CTZ983042:CTZ983486 DDV983042:DDV983486 DNR983042:DNR983486 DXN983042:DXN983486 EHJ983042:EHJ983486 ERF983042:ERF983486 FBB983042:FBB983486 FKX983042:FKX983486 FUT983042:FUT983486 GEP983042:GEP983486 GOL983042:GOL983486 GYH983042:GYH983486 HID983042:HID983486 HRZ983042:HRZ983486 IBV983042:IBV983486 ILR983042:ILR983486 IVN983042:IVN983486 JFJ983042:JFJ983486 JPF983042:JPF983486 JZB983042:JZB983486 KIX983042:KIX983486 KST983042:KST983486 LCP983042:LCP983486 LML983042:LML983486 LWH983042:LWH983486 MGD983042:MGD983486 MPZ983042:MPZ983486 MZV983042:MZV983486 NJR983042:NJR983486 NTN983042:NTN983486 ODJ983042:ODJ983486 ONF983042:ONF983486 OXB983042:OXB983486 PGX983042:PGX983486 PQT983042:PQT983486 QAP983042:QAP983486 QKL983042:QKL983486 QUH983042:QUH983486 RED983042:RED983486 RNZ983042:RNZ983486 RXV983042:RXV983486 SHR983042:SHR983486 SRN983042:SRN983486 TBJ983042:TBJ983486 TLF983042:TLF983486 TVB983042:TVB983486 UEX983042:UEX983486 UOT983042:UOT983486 UYP983042:UYP983486 VIL983042:VIL983486 VSH983042:VSH983486 WCD983042:WCD983486 WLZ983042:WLZ983486 WVV983042:WVV983486 N65538:N65982 JJ65538:JJ65982 TF65538:TF65982 ADB65538:ADB65982 AMX65538:AMX65982 AWT65538:AWT65982 BGP65538:BGP65982 BQL65538:BQL65982 CAH65538:CAH65982 CKD65538:CKD65982 CTZ65538:CTZ65982 DDV65538:DDV65982 DNR65538:DNR65982 DXN65538:DXN65982 EHJ65538:EHJ65982 ERF65538:ERF65982 FBB65538:FBB65982 FKX65538:FKX65982 FUT65538:FUT65982 GEP65538:GEP65982 GOL65538:GOL65982 GYH65538:GYH65982 HID65538:HID65982 HRZ65538:HRZ65982 IBV65538:IBV65982 ILR65538:ILR65982 IVN65538:IVN65982 JFJ65538:JFJ65982 JPF65538:JPF65982 JZB65538:JZB65982 KIX65538:KIX65982 KST65538:KST65982 LCP65538:LCP65982 LML65538:LML65982 LWH65538:LWH65982 MGD65538:MGD65982 MPZ65538:MPZ65982 MZV65538:MZV65982 NJR65538:NJR65982 NTN65538:NTN65982 ODJ65538:ODJ65982 ONF65538:ONF65982 OXB65538:OXB65982 PGX65538:PGX65982 PQT65538:PQT65982 QAP65538:QAP65982 QKL65538:QKL65982 QUH65538:QUH65982 RED65538:RED65982 RNZ65538:RNZ65982 RXV65538:RXV65982 SHR65538:SHR65982 SRN65538:SRN65982 TBJ65538:TBJ65982 TLF65538:TLF65982 TVB65538:TVB65982 UEX65538:UEX65982 UOT65538:UOT65982 UYP65538:UYP65982 VIL65538:VIL65982 VSH65538:VSH65982 WCD65538:WCD65982 WLZ65538:WLZ65982 WVV65538:WVV65982 N131074:N131518 JJ131074:JJ131518 TF131074:TF131518 ADB131074:ADB131518 AMX131074:AMX131518 AWT131074:AWT131518 BGP131074:BGP131518 BQL131074:BQL131518 CAH131074:CAH131518 CKD131074:CKD131518 CTZ131074:CTZ131518 DDV131074:DDV131518 DNR131074:DNR131518 DXN131074:DXN131518 EHJ131074:EHJ131518 ERF131074:ERF131518 FBB131074:FBB131518 FKX131074:FKX131518 FUT131074:FUT131518 GEP131074:GEP131518 GOL131074:GOL131518 GYH131074:GYH131518 HID131074:HID131518 HRZ131074:HRZ131518 IBV131074:IBV131518 ILR131074:ILR131518 IVN131074:IVN131518 JFJ131074:JFJ131518 JPF131074:JPF131518 JZB131074:JZB131518 KIX131074:KIX131518 KST131074:KST131518 LCP131074:LCP131518 LML131074:LML131518 LWH131074:LWH131518 MGD131074:MGD131518 MPZ131074:MPZ131518 MZV131074:MZV131518 NJR131074:NJR131518 NTN131074:NTN131518 ODJ131074:ODJ131518 ONF131074:ONF131518 OXB131074:OXB131518 PGX131074:PGX131518 PQT131074:PQT131518 QAP131074:QAP131518 QKL131074:QKL131518 QUH131074:QUH131518 RED131074:RED131518 RNZ131074:RNZ131518 RXV131074:RXV131518 SHR131074:SHR131518 SRN131074:SRN131518 TBJ131074:TBJ131518 TLF131074:TLF131518 TVB131074:TVB131518 UEX131074:UEX131518 UOT131074:UOT131518 UYP131074:UYP131518 VIL131074:VIL131518 VSH131074:VSH131518 WCD131074:WCD131518 WLZ131074:WLZ131518 WVV131074:WVV131518 N196610:N197054 JJ196610:JJ197054 TF196610:TF197054 ADB196610:ADB197054 AMX196610:AMX197054 AWT196610:AWT197054 BGP196610:BGP197054 BQL196610:BQL197054 CAH196610:CAH197054 CKD196610:CKD197054 CTZ196610:CTZ197054 DDV196610:DDV197054 DNR196610:DNR197054 DXN196610:DXN197054 EHJ196610:EHJ197054 ERF196610:ERF197054 FBB196610:FBB197054 FKX196610:FKX197054 FUT196610:FUT197054 GEP196610:GEP197054 GOL196610:GOL197054 GYH196610:GYH197054 HID196610:HID197054 HRZ196610:HRZ197054 IBV196610:IBV197054 ILR196610:ILR197054 IVN196610:IVN197054 JFJ196610:JFJ197054 JPF196610:JPF197054 JZB196610:JZB197054 KIX196610:KIX197054 KST196610:KST197054 LCP196610:LCP197054 LML196610:LML197054 LWH196610:LWH197054 MGD196610:MGD197054 MPZ196610:MPZ197054 MZV196610:MZV197054 NJR196610:NJR197054 NTN196610:NTN197054 ODJ196610:ODJ197054 ONF196610:ONF197054 OXB196610:OXB197054 PGX196610:PGX197054 PQT196610:PQT197054 QAP196610:QAP197054 QKL196610:QKL197054 QUH196610:QUH197054 RED196610:RED197054 RNZ196610:RNZ197054 RXV196610:RXV197054 SHR196610:SHR197054 SRN196610:SRN197054 TBJ196610:TBJ197054 TLF196610:TLF197054 TVB196610:TVB197054 UEX196610:UEX197054 UOT196610:UOT197054 UYP196610:UYP197054 VIL196610:VIL197054 VSH196610:VSH197054 WCD196610:WCD197054 WLZ196610:WLZ197054 WVV196610:WVV197054 N262146:N262590 JJ262146:JJ262590 TF262146:TF262590 ADB262146:ADB262590 AMX262146:AMX262590 AWT262146:AWT262590 BGP262146:BGP262590 BQL262146:BQL262590 CAH262146:CAH262590 CKD262146:CKD262590 CTZ262146:CTZ262590 DDV262146:DDV262590 DNR262146:DNR262590 DXN262146:DXN262590 EHJ262146:EHJ262590 ERF262146:ERF262590 FBB262146:FBB262590 FKX262146:FKX262590 FUT262146:FUT262590 GEP262146:GEP262590 GOL262146:GOL262590 GYH262146:GYH262590 HID262146:HID262590 HRZ262146:HRZ262590 IBV262146:IBV262590 ILR262146:ILR262590 IVN262146:IVN262590 JFJ262146:JFJ262590 JPF262146:JPF262590 JZB262146:JZB262590 KIX262146:KIX262590 KST262146:KST262590 LCP262146:LCP262590 LML262146:LML262590 LWH262146:LWH262590 MGD262146:MGD262590 MPZ262146:MPZ262590 MZV262146:MZV262590 NJR262146:NJR262590 NTN262146:NTN262590 ODJ262146:ODJ262590 ONF262146:ONF262590 OXB262146:OXB262590 PGX262146:PGX262590 PQT262146:PQT262590 QAP262146:QAP262590 QKL262146:QKL262590 QUH262146:QUH262590 RED262146:RED262590 RNZ262146:RNZ262590 RXV262146:RXV262590 SHR262146:SHR262590 SRN262146:SRN262590 TBJ262146:TBJ262590 TLF262146:TLF262590 TVB262146:TVB262590 UEX262146:UEX262590 UOT262146:UOT262590 UYP262146:UYP262590 VIL262146:VIL262590 VSH262146:VSH262590 WCD262146:WCD262590 WLZ262146:WLZ262590 WVV262146:WVV262590 N327682:N328126 JJ327682:JJ328126 TF327682:TF328126 ADB327682:ADB328126 AMX327682:AMX328126 AWT327682:AWT328126 BGP327682:BGP328126 BQL327682:BQL328126 CAH327682:CAH328126 CKD327682:CKD328126 CTZ327682:CTZ328126 DDV327682:DDV328126 DNR327682:DNR328126 DXN327682:DXN328126 EHJ327682:EHJ328126 ERF327682:ERF328126 FBB327682:FBB328126 FKX327682:FKX328126 FUT327682:FUT328126 GEP327682:GEP328126 GOL327682:GOL328126 GYH327682:GYH328126 HID327682:HID328126 HRZ327682:HRZ328126 IBV327682:IBV328126 ILR327682:ILR328126 IVN327682:IVN328126 JFJ327682:JFJ328126 JPF327682:JPF328126 JZB327682:JZB328126 KIX327682:KIX328126 KST327682:KST328126 LCP327682:LCP328126 LML327682:LML328126 LWH327682:LWH328126 MGD327682:MGD328126 MPZ327682:MPZ328126 MZV327682:MZV328126 NJR327682:NJR328126 NTN327682:NTN328126 ODJ327682:ODJ328126 ONF327682:ONF328126 OXB327682:OXB328126 PGX327682:PGX328126 PQT327682:PQT328126 QAP327682:QAP328126 QKL327682:QKL328126 QUH327682:QUH328126 RED327682:RED328126 RNZ327682:RNZ328126 RXV327682:RXV328126 SHR327682:SHR328126 SRN327682:SRN328126 TBJ327682:TBJ328126 TLF327682:TLF328126 TVB327682:TVB328126 UEX327682:UEX328126 UOT327682:UOT328126 UYP327682:UYP328126 VIL327682:VIL328126 VSH327682:VSH328126 WCD327682:WCD328126 WLZ327682:WLZ328126 WVV327682:WVV328126 N393218:N393662 JJ393218:JJ393662 TF393218:TF393662 ADB393218:ADB393662 AMX393218:AMX393662 AWT393218:AWT393662 BGP393218:BGP393662 BQL393218:BQL393662 CAH393218:CAH393662 CKD393218:CKD393662 CTZ393218:CTZ393662 DDV393218:DDV393662 DNR393218:DNR393662 DXN393218:DXN393662 EHJ393218:EHJ393662 ERF393218:ERF393662 FBB393218:FBB393662 FKX393218:FKX393662 FUT393218:FUT393662 GEP393218:GEP393662 GOL393218:GOL393662 GYH393218:GYH393662 HID393218:HID393662 HRZ393218:HRZ393662 IBV393218:IBV393662 ILR393218:ILR393662 IVN393218:IVN393662 JFJ393218:JFJ393662 JPF393218:JPF393662 JZB393218:JZB393662 KIX393218:KIX393662 KST393218:KST393662 LCP393218:LCP393662 LML393218:LML393662 LWH393218:LWH393662 MGD393218:MGD393662 MPZ393218:MPZ393662 MZV393218:MZV393662 NJR393218:NJR393662 NTN393218:NTN393662 ODJ393218:ODJ393662 ONF393218:ONF393662 OXB393218:OXB393662 PGX393218:PGX393662 PQT393218:PQT393662 QAP393218:QAP393662 QKL393218:QKL393662 QUH393218:QUH393662 RED393218:RED393662 RNZ393218:RNZ393662 RXV393218:RXV393662 SHR393218:SHR393662 SRN393218:SRN393662 TBJ393218:TBJ393662 TLF393218:TLF393662 TVB393218:TVB393662 UEX393218:UEX393662 UOT393218:UOT393662 UYP393218:UYP393662 VIL393218:VIL393662 VSH393218:VSH393662 WCD393218:WCD393662 WLZ393218:WLZ393662 WVV393218:WVV393662 N458754:N459198 JJ458754:JJ459198 TF458754:TF459198 ADB458754:ADB459198 AMX458754:AMX459198 AWT458754:AWT459198 BGP458754:BGP459198 BQL458754:BQL459198 CAH458754:CAH459198 CKD458754:CKD459198 CTZ458754:CTZ459198 DDV458754:DDV459198 DNR458754:DNR459198 DXN458754:DXN459198 EHJ458754:EHJ459198 ERF458754:ERF459198 FBB458754:FBB459198 FKX458754:FKX459198 FUT458754:FUT459198 GEP458754:GEP459198 GOL458754:GOL459198 GYH458754:GYH459198 HID458754:HID459198 HRZ458754:HRZ459198 IBV458754:IBV459198 ILR458754:ILR459198 IVN458754:IVN459198 JFJ458754:JFJ459198 JPF458754:JPF459198 JZB458754:JZB459198 KIX458754:KIX459198 KST458754:KST459198 LCP458754:LCP459198 LML458754:LML459198 LWH458754:LWH459198 MGD458754:MGD459198 MPZ458754:MPZ459198 MZV458754:MZV459198 NJR458754:NJR459198 NTN458754:NTN459198 ODJ458754:ODJ459198 ONF458754:ONF459198 OXB458754:OXB459198 PGX458754:PGX459198 PQT458754:PQT459198 QAP458754:QAP459198 QKL458754:QKL459198 QUH458754:QUH459198 RED458754:RED459198 RNZ458754:RNZ459198 RXV458754:RXV459198 SHR458754:SHR459198 SRN458754:SRN459198 TBJ458754:TBJ459198 TLF458754:TLF459198 TVB458754:TVB459198 UEX458754:UEX459198 UOT458754:UOT459198 UYP458754:UYP459198 VIL458754:VIL459198 VSH458754:VSH459198 WCD458754:WCD459198 WLZ458754:WLZ459198 WVV458754:WVV459198 N524290:N524734 JJ524290:JJ524734 TF524290:TF524734 ADB524290:ADB524734 AMX524290:AMX524734 AWT524290:AWT524734 BGP524290:BGP524734 BQL524290:BQL524734 CAH524290:CAH524734 CKD524290:CKD524734 CTZ524290:CTZ524734 DDV524290:DDV524734 DNR524290:DNR524734 DXN524290:DXN524734 EHJ524290:EHJ524734 ERF524290:ERF524734 FBB524290:FBB524734 FKX524290:FKX524734 FUT524290:FUT524734 GEP524290:GEP524734 GOL524290:GOL524734 GYH524290:GYH524734 HID524290:HID524734 HRZ524290:HRZ524734 IBV524290:IBV524734 ILR524290:ILR524734 IVN524290:IVN524734 JFJ524290:JFJ524734 JPF524290:JPF524734 JZB524290:JZB524734 KIX524290:KIX524734 KST524290:KST524734 LCP524290:LCP524734 LML524290:LML524734 LWH524290:LWH524734 MGD524290:MGD524734 MPZ524290:MPZ524734 MZV524290:MZV524734 NJR524290:NJR524734 NTN524290:NTN524734 ODJ524290:ODJ524734 ONF524290:ONF524734 OXB524290:OXB524734 PGX524290:PGX524734 PQT524290:PQT524734 QAP524290:QAP524734 QKL524290:QKL524734 QUH524290:QUH524734 RED524290:RED524734 RNZ524290:RNZ524734 RXV524290:RXV524734 SHR524290:SHR524734 SRN524290:SRN524734 TBJ524290:TBJ524734 TLF524290:TLF524734 TVB524290:TVB524734 UEX524290:UEX524734 UOT524290:UOT524734 UYP524290:UYP524734 VIL524290:VIL524734 VSH524290:VSH524734 WCD524290:WCD524734 WLZ524290:WLZ524734 WVV524290:WVV524734 N589826:N590270 JJ589826:JJ590270 TF589826:TF590270 ADB589826:ADB590270 AMX589826:AMX590270 AWT589826:AWT590270 BGP589826:BGP590270 BQL589826:BQL590270 CAH589826:CAH590270 CKD589826:CKD590270 CTZ589826:CTZ590270 DDV589826:DDV590270 DNR589826:DNR590270 DXN589826:DXN590270 EHJ589826:EHJ590270 ERF589826:ERF590270 FBB589826:FBB590270 FKX589826:FKX590270 FUT589826:FUT590270 GEP589826:GEP590270 GOL589826:GOL590270 GYH589826:GYH590270 HID589826:HID590270 HRZ589826:HRZ590270 IBV589826:IBV590270 ILR589826:ILR590270 IVN589826:IVN590270 JFJ589826:JFJ590270 JPF589826:JPF590270 JZB589826:JZB590270 KIX589826:KIX590270 KST589826:KST590270 LCP589826:LCP590270 LML589826:LML590270 LWH589826:LWH590270 MGD589826:MGD590270 MPZ589826:MPZ590270 MZV589826:MZV590270 NJR589826:NJR590270 NTN589826:NTN590270 ODJ589826:ODJ590270 ONF589826:ONF590270 OXB589826:OXB590270 PGX589826:PGX590270 PQT589826:PQT590270 QAP589826:QAP590270 QKL589826:QKL590270 QUH589826:QUH590270 RED589826:RED590270 RNZ589826:RNZ590270 RXV589826:RXV590270 SHR589826:SHR590270 SRN589826:SRN590270 TBJ589826:TBJ590270 TLF589826:TLF590270 TVB589826:TVB590270 UEX589826:UEX590270 UOT589826:UOT590270 UYP589826:UYP590270 VIL589826:VIL590270 VSH589826:VSH590270 WCD589826:WCD590270 WLZ589826:WLZ590270 WVV589826:WVV590270 N655362:N655806 JJ655362:JJ655806 TF655362:TF655806 ADB655362:ADB655806 AMX655362:AMX655806 AWT655362:AWT655806 BGP655362:BGP655806 BQL655362:BQL655806 CAH655362:CAH655806 CKD655362:CKD655806 CTZ655362:CTZ655806 DDV655362:DDV655806 DNR655362:DNR655806 DXN655362:DXN655806 EHJ655362:EHJ655806 ERF655362:ERF655806 FBB655362:FBB655806 FKX655362:FKX655806 FUT655362:FUT655806 GEP655362:GEP655806 GOL655362:GOL655806 GYH655362:GYH655806 HID655362:HID655806 HRZ655362:HRZ655806 IBV655362:IBV655806 ILR655362:ILR655806 IVN655362:IVN655806 JFJ655362:JFJ655806 JPF655362:JPF655806 JZB655362:JZB655806 KIX655362:KIX655806 KST655362:KST655806 LCP655362:LCP655806 LML655362:LML655806 LWH655362:LWH655806 MGD655362:MGD655806 MPZ655362:MPZ655806 MZV655362:MZV655806 NJR655362:NJR655806 NTN655362:NTN655806 ODJ655362:ODJ655806 ONF655362:ONF655806 OXB655362:OXB655806 PGX655362:PGX655806 PQT655362:PQT655806 QAP655362:QAP655806 QKL655362:QKL655806 QUH655362:QUH655806 RED655362:RED655806 RNZ655362:RNZ655806 RXV655362:RXV655806 SHR655362:SHR655806 SRN655362:SRN655806 TBJ655362:TBJ655806 TLF655362:TLF655806 TVB655362:TVB655806 UEX655362:UEX655806 UOT655362:UOT655806 UYP655362:UYP655806 VIL655362:VIL655806 VSH655362:VSH655806 WCD655362:WCD655806 WLZ655362:WLZ655806 WVV655362:WVV655806 N720898:N721342 JJ720898:JJ721342 TF720898:TF721342 ADB720898:ADB721342 AMX720898:AMX721342 AWT720898:AWT721342 BGP720898:BGP721342 BQL720898:BQL721342 CAH720898:CAH721342 CKD720898:CKD721342 CTZ720898:CTZ721342 DDV720898:DDV721342 DNR720898:DNR721342 DXN720898:DXN721342 EHJ720898:EHJ721342 ERF720898:ERF721342 FBB720898:FBB721342 FKX720898:FKX721342 FUT720898:FUT721342 GEP720898:GEP721342 GOL720898:GOL721342 GYH720898:GYH721342 HID720898:HID721342 HRZ720898:HRZ721342 IBV720898:IBV721342 ILR720898:ILR721342 IVN720898:IVN721342 JFJ720898:JFJ721342 JPF720898:JPF721342 JZB720898:JZB721342 KIX720898:KIX721342 KST720898:KST721342 LCP720898:LCP721342 LML720898:LML721342 LWH720898:LWH721342 MGD720898:MGD721342 MPZ720898:MPZ721342 MZV720898:MZV721342 NJR720898:NJR721342 NTN720898:NTN721342 ODJ720898:ODJ721342 ONF720898:ONF721342 OXB720898:OXB721342 PGX720898:PGX721342 PQT720898:PQT721342 QAP720898:QAP721342 QKL720898:QKL721342 QUH720898:QUH721342 RED720898:RED721342 RNZ720898:RNZ721342 RXV720898:RXV721342 SHR720898:SHR721342 SRN720898:SRN721342 TBJ720898:TBJ721342 TLF720898:TLF721342 TVB720898:TVB721342 UEX720898:UEX721342 UOT720898:UOT721342 UYP720898:UYP721342 VIL720898:VIL721342 VSH720898:VSH721342 WCD720898:WCD721342 WLZ720898:WLZ721342 WVV720898:WVV721342 N786434:N786878 JJ786434:JJ786878 TF786434:TF786878 ADB786434:ADB786878 AMX786434:AMX786878 AWT786434:AWT786878 BGP786434:BGP786878 BQL786434:BQL786878 CAH786434:CAH786878 CKD786434:CKD786878 CTZ786434:CTZ786878 DDV786434:DDV786878 DNR786434:DNR786878 DXN786434:DXN786878 EHJ786434:EHJ786878 ERF786434:ERF786878 FBB786434:FBB786878 FKX786434:FKX786878 FUT786434:FUT786878 GEP786434:GEP786878 GOL786434:GOL786878 GYH786434:GYH786878 HID786434:HID786878 HRZ786434:HRZ786878 IBV786434:IBV786878 ILR786434:ILR786878 IVN786434:IVN786878 JFJ786434:JFJ786878 JPF786434:JPF786878 JZB786434:JZB786878 KIX786434:KIX786878 KST786434:KST786878 LCP786434:LCP786878 LML786434:LML786878 LWH786434:LWH786878 MGD786434:MGD786878 MPZ786434:MPZ786878 MZV786434:MZV786878 NJR786434:NJR786878 NTN786434:NTN786878 ODJ786434:ODJ786878 ONF786434:ONF786878 OXB786434:OXB786878 PGX786434:PGX786878 PQT786434:PQT786878 QAP786434:QAP786878 QKL786434:QKL786878 QUH786434:QUH786878 RED786434:RED786878 RNZ786434:RNZ786878 RXV786434:RXV786878 SHR786434:SHR786878 SRN786434:SRN786878 TBJ786434:TBJ786878 TLF786434:TLF786878 TVB786434:TVB786878 UEX786434:UEX786878 UOT786434:UOT786878 UYP786434:UYP786878 VIL786434:VIL786878 VSH786434:VSH786878 WCD786434:WCD786878 WLZ786434:WLZ786878 WVV786434:WVV786878 N851970:N852414 JJ851970:JJ852414 TF851970:TF852414 ADB851970:ADB852414 AMX851970:AMX852414 AWT851970:AWT852414 BGP851970:BGP852414 BQL851970:BQL852414 CAH851970:CAH852414 CKD851970:CKD852414 CTZ851970:CTZ852414 DDV851970:DDV852414 DNR851970:DNR852414 DXN851970:DXN852414 EHJ851970:EHJ852414 ERF851970:ERF852414 FBB851970:FBB852414 FKX851970:FKX852414 FUT851970:FUT852414 GEP851970:GEP852414 GOL851970:GOL852414 GYH851970:GYH852414 HID851970:HID852414 HRZ851970:HRZ852414 IBV851970:IBV852414 ILR851970:ILR852414 IVN851970:IVN852414 JFJ851970:JFJ852414 JPF851970:JPF852414 JZB851970:JZB852414 KIX851970:KIX852414 KST851970:KST852414 LCP851970:LCP852414 LML851970:LML852414 LWH851970:LWH852414 MGD851970:MGD852414 MPZ851970:MPZ852414 MZV851970:MZV852414 NJR851970:NJR852414 NTN851970:NTN852414 ODJ851970:ODJ852414 ONF851970:ONF852414 OXB851970:OXB852414 PGX851970:PGX852414 PQT851970:PQT852414 QAP851970:QAP852414 QKL851970:QKL852414 QUH851970:QUH852414 RED851970:RED852414 RNZ851970:RNZ852414 RXV851970:RXV852414 SHR851970:SHR852414 SRN851970:SRN852414 TBJ851970:TBJ852414 TLF851970:TLF852414 TVB851970:TVB852414 UEX851970:UEX852414 UOT851970:UOT852414 UYP851970:UYP852414 VIL851970:VIL852414 VSH851970:VSH852414 WCD851970:WCD852414 WLZ851970:WLZ852414 WVV851970:WVV852414 N917506:N917950 JJ917506:JJ917950 TF917506:TF917950 ADB917506:ADB917950 AMX917506:AMX917950 AWT917506:AWT917950 BGP917506:BGP917950 BQL917506:BQL917950 CAH917506:CAH917950 CKD917506:CKD917950 CTZ917506:CTZ917950 DDV917506:DDV917950 DNR917506:DNR917950 DXN917506:DXN917950 EHJ917506:EHJ917950 ERF917506:ERF917950 FBB917506:FBB917950 FKX917506:FKX917950 FUT917506:FUT917950 GEP917506:GEP917950 GOL917506:GOL917950 GYH917506:GYH917950 HID917506:HID917950 HRZ917506:HRZ917950 IBV917506:IBV917950 ILR917506:ILR917950 IVN917506:IVN917950 JFJ917506:JFJ917950 JPF917506:JPF917950 JZB917506:JZB917950 KIX917506:KIX917950 KST917506:KST917950 LCP917506:LCP917950 LML917506:LML917950 LWH917506:LWH917950 MGD917506:MGD917950 MPZ917506:MPZ917950 MZV917506:MZV917950 NJR917506:NJR917950 NTN917506:NTN917950 ODJ917506:ODJ917950 ONF917506:ONF917950 OXB917506:OXB917950 PGX917506:PGX917950 PQT917506:PQT917950 QAP917506:QAP917950 QKL917506:QKL917950 QUH917506:QUH917950 RED917506:RED917950 RNZ917506:RNZ917950 RXV917506:RXV917950 SHR917506:SHR917950 SRN917506:SRN917950 TBJ917506:TBJ917950 TLF917506:TLF917950 TVB917506:TVB917950 UEX917506:UEX917950 UOT917506:UOT917950 UYP917506:UYP917950 VIL917506:VIL917950 VSH917506:VSH917950 WCD917506:WCD917950 WLZ917506:WLZ917950 WVV917506:WVV917950">
      <formula1>"To_analyse,Accepted,Refused,Transfered"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workbookViewId="0">
      <selection activeCell="E8" sqref="E8"/>
    </sheetView>
  </sheetViews>
  <sheetFormatPr defaultRowHeight="15" x14ac:dyDescent="0.25"/>
  <cols>
    <col min="1" max="1" bestFit="true" customWidth="true" width="6.42578125" collapsed="true"/>
    <col min="2" max="2" bestFit="true" customWidth="true" width="5.28515625" collapsed="true"/>
    <col min="3" max="3" bestFit="true" customWidth="true" width="11.140625" collapsed="true"/>
  </cols>
  <sheetData>
    <row r="1" spans="1:3" x14ac:dyDescent="0.25">
      <c r="A1" s="18" t="s">
        <v>3</v>
      </c>
      <c r="B1" s="18" t="s">
        <v>167</v>
      </c>
      <c r="C1" s="18" t="s">
        <v>168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70"/>
  <sheetViews>
    <sheetView zoomScale="85" zoomScaleNormal="85"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bestFit="true" customWidth="true" style="49" width="9.42578125" collapsed="true"/>
    <col min="2" max="2" bestFit="true" customWidth="true" style="2" width="9.0" collapsed="true"/>
    <col min="3" max="3" bestFit="true" customWidth="true" style="2" width="6.7109375" collapsed="true"/>
    <col min="4" max="4" bestFit="true" customWidth="true" style="2" width="34.5703125" collapsed="true"/>
    <col min="5" max="5" bestFit="true" customWidth="true" style="2" width="72.85546875" collapsed="true"/>
    <col min="6" max="6" bestFit="true" customWidth="true" style="2" width="44.28515625" collapsed="true"/>
    <col min="7" max="7" bestFit="true" customWidth="true" style="2" width="20.28515625" collapsed="true"/>
    <col min="8" max="8" bestFit="true" customWidth="true" style="2" width="30.7109375" collapsed="true"/>
    <col min="9" max="9" bestFit="true" customWidth="true" style="2" width="6.42578125" collapsed="true"/>
    <col min="10" max="10" bestFit="true" customWidth="true" style="2" width="19.140625" collapsed="true"/>
    <col min="11" max="11" bestFit="true" customWidth="true" style="2" width="116.7109375" collapsed="true"/>
    <col min="12" max="12" bestFit="true" customWidth="true" style="2" width="24.140625" collapsed="true"/>
    <col min="13" max="13" bestFit="true" customWidth="true" style="2" width="11.5703125" collapsed="true"/>
    <col min="14" max="14" bestFit="true" customWidth="true" style="2" width="12.28515625" collapsed="true"/>
    <col min="15" max="15" bestFit="true" customWidth="true" style="2" width="70.85546875" collapsed="true"/>
    <col min="16" max="16" bestFit="true" customWidth="true" style="2" width="19.85546875" collapsed="true"/>
    <col min="17" max="17" bestFit="true" customWidth="true" style="2" width="10.85546875" collapsed="true"/>
    <col min="18" max="18" bestFit="true" customWidth="true" style="2" width="120.0" collapsed="true"/>
    <col min="19" max="19" bestFit="true" customWidth="true" style="2" width="24.140625" collapsed="true"/>
    <col min="20" max="20" bestFit="true" customWidth="true" style="2" width="17.28515625" collapsed="true"/>
    <col min="21" max="21" bestFit="true" customWidth="true" style="2" width="2.140625" collapsed="true"/>
    <col min="22" max="22" bestFit="true" customWidth="true" style="2" width="2.42578125" collapsed="true"/>
    <col min="23" max="16384" style="2" width="9.140625" collapsed="true"/>
  </cols>
  <sheetData>
    <row r="1" spans="1:22" ht="16.5" thickTop="1" thickBot="1" x14ac:dyDescent="0.3">
      <c r="A1" s="1" t="s">
        <v>201</v>
      </c>
      <c r="B1" s="1" t="s">
        <v>3</v>
      </c>
      <c r="C1" s="11" t="s">
        <v>53</v>
      </c>
      <c r="D1" s="11" t="s">
        <v>54</v>
      </c>
      <c r="E1" s="11"/>
      <c r="F1" s="11" t="s">
        <v>55</v>
      </c>
      <c r="G1" s="11" t="s">
        <v>56</v>
      </c>
      <c r="H1" s="11" t="s">
        <v>57</v>
      </c>
      <c r="I1" s="11" t="s">
        <v>3</v>
      </c>
      <c r="J1" s="11" t="s">
        <v>58</v>
      </c>
      <c r="K1" s="11" t="s">
        <v>31</v>
      </c>
      <c r="L1" s="11" t="s">
        <v>59</v>
      </c>
      <c r="M1" s="11" t="s">
        <v>48</v>
      </c>
      <c r="N1" s="11" t="s">
        <v>60</v>
      </c>
      <c r="O1" s="11" t="s">
        <v>61</v>
      </c>
      <c r="P1" s="11" t="s">
        <v>62</v>
      </c>
      <c r="Q1" s="11" t="s">
        <v>63</v>
      </c>
      <c r="R1" s="11" t="s">
        <v>64</v>
      </c>
      <c r="S1" s="11" t="s">
        <v>65</v>
      </c>
      <c r="T1" s="11" t="s">
        <v>66</v>
      </c>
    </row>
    <row r="2" spans="1:22" ht="15.75" thickTop="1" x14ac:dyDescent="0.25"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</row>
    <row r="3" spans="1:22" x14ac:dyDescent="0.25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</row>
    <row r="4" spans="1:22" x14ac:dyDescent="0.25"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1:22" x14ac:dyDescent="0.25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</row>
    <row r="6" spans="1:22" x14ac:dyDescent="0.25"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</row>
    <row r="7" spans="1:22" x14ac:dyDescent="0.25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</row>
    <row r="8" spans="1:22" x14ac:dyDescent="0.25"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</row>
    <row r="9" spans="1:22" x14ac:dyDescent="0.25"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</row>
    <row r="10" spans="1:22" x14ac:dyDescent="0.25"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</row>
    <row r="11" spans="1:22" x14ac:dyDescent="0.25"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</row>
    <row r="12" spans="1:22" x14ac:dyDescent="0.25"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</row>
    <row r="13" spans="1:22" x14ac:dyDescent="0.25"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</row>
    <row r="14" spans="1:22" x14ac:dyDescent="0.25"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</row>
    <row r="15" spans="1:22" x14ac:dyDescent="0.25"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</row>
    <row r="16" spans="1:22" x14ac:dyDescent="0.25"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</row>
    <row r="17" spans="3:22" x14ac:dyDescent="0.25"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</row>
    <row r="18" spans="3:22" x14ac:dyDescent="0.25">
      <c r="C18" s="49"/>
      <c r="D18" s="49"/>
      <c r="E18" s="49"/>
      <c r="F18" s="49"/>
      <c r="G18" s="49"/>
      <c r="H18" s="49"/>
      <c r="I18" s="49"/>
      <c r="J18" s="53"/>
      <c r="K18" s="53"/>
      <c r="L18" s="53"/>
      <c r="M18" s="53"/>
      <c r="N18" s="53"/>
      <c r="O18" s="49"/>
      <c r="P18" s="49"/>
      <c r="Q18" s="49"/>
      <c r="R18" s="49"/>
      <c r="S18" s="49"/>
      <c r="T18" s="49"/>
      <c r="U18" s="49"/>
      <c r="V18" s="49"/>
    </row>
    <row r="19" spans="3:22" x14ac:dyDescent="0.25">
      <c r="C19" s="49"/>
      <c r="D19" s="49"/>
      <c r="E19" s="49"/>
      <c r="F19" s="49"/>
      <c r="G19" s="49"/>
      <c r="H19" s="49"/>
      <c r="I19" s="49"/>
      <c r="J19" s="53"/>
      <c r="K19" s="53"/>
      <c r="L19" s="53"/>
      <c r="M19" s="53"/>
      <c r="N19" s="53"/>
      <c r="O19" s="49"/>
      <c r="P19" s="49"/>
      <c r="Q19" s="49"/>
      <c r="R19" s="49"/>
      <c r="S19" s="49"/>
      <c r="T19" s="49"/>
      <c r="U19" s="49"/>
      <c r="V19" s="49"/>
    </row>
    <row r="20" spans="3:22" x14ac:dyDescent="0.25">
      <c r="C20" s="49"/>
      <c r="D20" s="49"/>
      <c r="E20" s="49"/>
      <c r="F20" s="49"/>
      <c r="G20" s="49"/>
      <c r="H20" s="49"/>
      <c r="I20" s="49"/>
      <c r="J20" s="53"/>
      <c r="K20" s="53"/>
      <c r="L20" s="53"/>
      <c r="M20" s="53"/>
      <c r="N20" s="53"/>
      <c r="O20" s="49"/>
      <c r="P20" s="49"/>
      <c r="Q20" s="49"/>
      <c r="R20" s="49"/>
      <c r="S20" s="49"/>
      <c r="T20" s="49"/>
      <c r="U20" s="49"/>
      <c r="V20" s="49"/>
    </row>
    <row r="21" spans="3:22" x14ac:dyDescent="0.25"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</row>
    <row r="22" spans="3:22" x14ac:dyDescent="0.25"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</row>
    <row r="23" spans="3:22" x14ac:dyDescent="0.25"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</row>
    <row r="24" spans="3:22" x14ac:dyDescent="0.25"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</row>
    <row r="25" spans="3:22" x14ac:dyDescent="0.25"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</row>
    <row r="26" spans="3:22" x14ac:dyDescent="0.25"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</row>
    <row r="27" spans="3:22" x14ac:dyDescent="0.25"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</row>
    <row r="28" spans="3:22" x14ac:dyDescent="0.25"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</row>
    <row r="29" spans="3:22" x14ac:dyDescent="0.25"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</row>
    <row r="30" spans="3:22" x14ac:dyDescent="0.25"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</row>
    <row r="31" spans="3:22" x14ac:dyDescent="0.25"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</row>
    <row r="32" spans="3:22" x14ac:dyDescent="0.25"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</row>
    <row r="33" spans="3:22" x14ac:dyDescent="0.25"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</row>
    <row r="34" spans="3:22" x14ac:dyDescent="0.25"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</row>
    <row r="35" spans="3:22" x14ac:dyDescent="0.25"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</row>
    <row r="36" spans="3:22" x14ac:dyDescent="0.25"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</row>
    <row r="37" spans="3:22" x14ac:dyDescent="0.25"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</row>
    <row r="38" spans="3:22" x14ac:dyDescent="0.25"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</row>
    <row r="39" spans="3:22" x14ac:dyDescent="0.25"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</row>
    <row r="40" spans="3:22" x14ac:dyDescent="0.25"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</row>
    <row r="41" spans="3:22" x14ac:dyDescent="0.25"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</row>
    <row r="42" spans="3:22" x14ac:dyDescent="0.25"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</row>
    <row r="43" spans="3:22" x14ac:dyDescent="0.25"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</row>
    <row r="44" spans="3:22" x14ac:dyDescent="0.25"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</row>
    <row r="45" spans="3:22" x14ac:dyDescent="0.25"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</row>
    <row r="46" spans="3:22" x14ac:dyDescent="0.25"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</row>
    <row r="47" spans="3:22" x14ac:dyDescent="0.25"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</row>
    <row r="48" spans="3:22" x14ac:dyDescent="0.25"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</row>
    <row r="49" spans="3:22" x14ac:dyDescent="0.25"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</row>
    <row r="50" spans="3:22" x14ac:dyDescent="0.25"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</row>
    <row r="51" spans="3:22" x14ac:dyDescent="0.25"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</row>
    <row r="52" spans="3:22" x14ac:dyDescent="0.25"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</row>
    <row r="53" spans="3:22" x14ac:dyDescent="0.25"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</row>
    <row r="54" spans="3:22" x14ac:dyDescent="0.25"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</row>
    <row r="55" spans="3:22" x14ac:dyDescent="0.25"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</row>
    <row r="56" spans="3:22" x14ac:dyDescent="0.25"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</row>
    <row r="57" spans="3:22" x14ac:dyDescent="0.25"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</row>
    <row r="58" spans="3:22" x14ac:dyDescent="0.25"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</row>
    <row r="59" spans="3:22" x14ac:dyDescent="0.25"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</row>
    <row r="60" spans="3:22" x14ac:dyDescent="0.25"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</row>
    <row r="61" spans="3:22" x14ac:dyDescent="0.25"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</row>
    <row r="62" spans="3:22" x14ac:dyDescent="0.25"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</row>
    <row r="63" spans="3:22" x14ac:dyDescent="0.25"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</row>
    <row r="64" spans="3:22" x14ac:dyDescent="0.25"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</row>
    <row r="65" spans="3:22" x14ac:dyDescent="0.25"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</row>
    <row r="66" spans="3:22" x14ac:dyDescent="0.25"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53"/>
      <c r="R66" s="53"/>
      <c r="S66" s="53"/>
      <c r="T66" s="53"/>
      <c r="U66" s="49"/>
      <c r="V66" s="49"/>
    </row>
    <row r="67" spans="3:22" x14ac:dyDescent="0.25"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53"/>
      <c r="R67" s="53"/>
      <c r="S67" s="53"/>
      <c r="T67" s="53"/>
      <c r="U67" s="49"/>
      <c r="V67" s="49"/>
    </row>
    <row r="68" spans="3:22" x14ac:dyDescent="0.25"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</row>
    <row r="69" spans="3:22" x14ac:dyDescent="0.25"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</row>
    <row r="70" spans="3:22" x14ac:dyDescent="0.25"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</row>
    <row r="71" spans="3:22" x14ac:dyDescent="0.25"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</row>
    <row r="72" spans="3:22" x14ac:dyDescent="0.25"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</row>
    <row r="73" spans="3:22" x14ac:dyDescent="0.25"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</row>
    <row r="74" spans="3:22" x14ac:dyDescent="0.25"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53"/>
      <c r="R74" s="53"/>
      <c r="S74" s="53"/>
      <c r="T74" s="53"/>
      <c r="U74" s="49"/>
      <c r="V74" s="49"/>
    </row>
    <row r="75" spans="3:22" x14ac:dyDescent="0.25"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53"/>
      <c r="R75" s="53"/>
      <c r="S75" s="53"/>
      <c r="T75" s="53"/>
      <c r="U75" s="49"/>
      <c r="V75" s="49"/>
    </row>
    <row r="76" spans="3:22" x14ac:dyDescent="0.25"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</row>
    <row r="77" spans="3:22" x14ac:dyDescent="0.25"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</row>
    <row r="78" spans="3:22" x14ac:dyDescent="0.25"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</row>
    <row r="79" spans="3:22" x14ac:dyDescent="0.25"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</row>
    <row r="80" spans="3:22" x14ac:dyDescent="0.25"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</row>
    <row r="81" spans="3:22" x14ac:dyDescent="0.25"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</row>
    <row r="82" spans="3:22" x14ac:dyDescent="0.25"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</row>
    <row r="83" spans="3:22" x14ac:dyDescent="0.25"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</row>
    <row r="84" spans="3:22" x14ac:dyDescent="0.25"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3:22" x14ac:dyDescent="0.25"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3:22" x14ac:dyDescent="0.25"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3:22" x14ac:dyDescent="0.25"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3:22" x14ac:dyDescent="0.25"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3:22" x14ac:dyDescent="0.25"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0" spans="3:22" x14ac:dyDescent="0.25"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</row>
    <row r="91" spans="3:22" x14ac:dyDescent="0.25"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</row>
    <row r="92" spans="3:22" x14ac:dyDescent="0.25"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</row>
    <row r="93" spans="3:22" x14ac:dyDescent="0.25"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</row>
    <row r="94" spans="3:22" x14ac:dyDescent="0.25"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</row>
    <row r="95" spans="3:22" x14ac:dyDescent="0.25"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</row>
    <row r="96" spans="3:22" x14ac:dyDescent="0.25"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</row>
    <row r="97" spans="3:22" x14ac:dyDescent="0.25"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</row>
    <row r="98" spans="3:22" x14ac:dyDescent="0.25"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</row>
    <row r="99" spans="3:22" x14ac:dyDescent="0.25"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</row>
    <row r="100" spans="3:22" x14ac:dyDescent="0.25"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</row>
    <row r="101" spans="3:22" x14ac:dyDescent="0.25"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</row>
    <row r="102" spans="3:22" x14ac:dyDescent="0.25"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</row>
    <row r="103" spans="3:22" x14ac:dyDescent="0.25"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</row>
    <row r="104" spans="3:22" x14ac:dyDescent="0.25"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</row>
    <row r="105" spans="3:22" x14ac:dyDescent="0.25"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</row>
    <row r="106" spans="3:22" x14ac:dyDescent="0.25"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</row>
    <row r="107" spans="3:22" x14ac:dyDescent="0.25"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</row>
    <row r="108" spans="3:22" x14ac:dyDescent="0.25"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</row>
    <row r="109" spans="3:22" x14ac:dyDescent="0.25"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</row>
    <row r="110" spans="3:22" x14ac:dyDescent="0.25"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</row>
    <row r="111" spans="3:22" x14ac:dyDescent="0.25"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</row>
    <row r="112" spans="3:22" x14ac:dyDescent="0.25"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</row>
    <row r="113" spans="3:22" x14ac:dyDescent="0.25"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</row>
    <row r="114" spans="3:22" x14ac:dyDescent="0.25"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</row>
    <row r="115" spans="3:22" x14ac:dyDescent="0.25"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</row>
    <row r="116" spans="3:22" x14ac:dyDescent="0.25"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</row>
    <row r="117" spans="3:22" x14ac:dyDescent="0.25"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</row>
    <row r="118" spans="3:22" x14ac:dyDescent="0.25"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</row>
    <row r="119" spans="3:22" x14ac:dyDescent="0.25"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</row>
    <row r="120" spans="3:22" x14ac:dyDescent="0.25"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</row>
    <row r="121" spans="3:22" x14ac:dyDescent="0.25"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</row>
    <row r="122" spans="3:22" x14ac:dyDescent="0.25"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</row>
    <row r="123" spans="3:22" x14ac:dyDescent="0.25"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</row>
    <row r="124" spans="3:22" x14ac:dyDescent="0.25"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</row>
    <row r="125" spans="3:22" x14ac:dyDescent="0.25"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</row>
    <row r="126" spans="3:22" x14ac:dyDescent="0.25"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</row>
    <row r="127" spans="3:22" x14ac:dyDescent="0.25"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</row>
    <row r="128" spans="3:22" x14ac:dyDescent="0.25"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</row>
    <row r="129" spans="3:22" x14ac:dyDescent="0.25"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</row>
    <row r="130" spans="3:22" x14ac:dyDescent="0.25"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</row>
    <row r="131" spans="3:22" x14ac:dyDescent="0.25"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</row>
    <row r="132" spans="3:22" x14ac:dyDescent="0.25"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</row>
    <row r="133" spans="3:22" x14ac:dyDescent="0.25"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</row>
    <row r="134" spans="3:22" x14ac:dyDescent="0.25"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</row>
    <row r="135" spans="3:22" x14ac:dyDescent="0.25"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</row>
    <row r="136" spans="3:22" x14ac:dyDescent="0.25"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</row>
    <row r="137" spans="3:22" x14ac:dyDescent="0.25"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</row>
    <row r="138" spans="3:22" x14ac:dyDescent="0.25"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</row>
    <row r="139" spans="3:22" x14ac:dyDescent="0.25"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</row>
    <row r="140" spans="3:22" x14ac:dyDescent="0.25"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</row>
    <row r="141" spans="3:22" x14ac:dyDescent="0.25"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</row>
    <row r="142" spans="3:22" x14ac:dyDescent="0.25"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</row>
    <row r="143" spans="3:22" x14ac:dyDescent="0.25"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</row>
    <row r="144" spans="3:22" x14ac:dyDescent="0.25"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</row>
    <row r="145" spans="3:22" x14ac:dyDescent="0.25"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</row>
    <row r="146" spans="3:22" x14ac:dyDescent="0.25"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</row>
    <row r="147" spans="3:22" x14ac:dyDescent="0.25"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</row>
    <row r="148" spans="3:22" x14ac:dyDescent="0.25"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</row>
    <row r="149" spans="3:22" x14ac:dyDescent="0.25"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</row>
    <row r="150" spans="3:22" x14ac:dyDescent="0.25"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</row>
    <row r="151" spans="3:22" x14ac:dyDescent="0.25"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</row>
    <row r="152" spans="3:22" x14ac:dyDescent="0.25"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</row>
    <row r="153" spans="3:22" x14ac:dyDescent="0.25"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</row>
    <row r="154" spans="3:22" x14ac:dyDescent="0.25"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</row>
    <row r="155" spans="3:22" x14ac:dyDescent="0.25"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</row>
    <row r="156" spans="3:22" x14ac:dyDescent="0.25"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</row>
    <row r="157" spans="3:22" x14ac:dyDescent="0.25"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</row>
    <row r="158" spans="3:22" x14ac:dyDescent="0.25"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</row>
    <row r="159" spans="3:22" x14ac:dyDescent="0.25"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</row>
    <row r="160" spans="3:22" x14ac:dyDescent="0.25"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</row>
    <row r="161" spans="3:22" x14ac:dyDescent="0.25"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</row>
    <row r="162" spans="3:22" x14ac:dyDescent="0.25"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</row>
    <row r="163" spans="3:22" x14ac:dyDescent="0.25"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</row>
    <row r="164" spans="3:22" x14ac:dyDescent="0.25">
      <c r="C164" s="49"/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</row>
    <row r="165" spans="3:22" x14ac:dyDescent="0.25">
      <c r="C165" s="49"/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</row>
    <row r="166" spans="3:22" x14ac:dyDescent="0.25">
      <c r="C166" s="49"/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</row>
    <row r="167" spans="3:22" x14ac:dyDescent="0.25">
      <c r="C167" s="49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</row>
    <row r="168" spans="3:22" x14ac:dyDescent="0.25">
      <c r="C168" s="49"/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</row>
    <row r="169" spans="3:22" x14ac:dyDescent="0.25">
      <c r="C169" s="49"/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</row>
    <row r="170" spans="3:22" x14ac:dyDescent="0.25">
      <c r="C170" s="49"/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9" id="{5FBFD6B1-E038-4DB9-B772-386A2393E8C6}">
            <xm:f>$B2=myStatus!$A$5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0B12AC8E-38E4-4CD5-B1BD-4D19726F9FB1}">
            <xm:f>$B2=myStatus!$A$4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1" id="{6FFF89AD-6A0D-4D3C-BA97-A6058FF16DA3}">
            <xm:f>$B2=myStatus!$A$3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B2:T1048576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zoomScale="85" zoomScaleNormal="85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bestFit="true" customWidth="true" style="2" width="9.42578125" collapsed="true"/>
    <col min="2" max="2" bestFit="true" customWidth="true" style="2" width="6.42578125" collapsed="true"/>
    <col min="3" max="3" bestFit="true" customWidth="true" style="2" width="5.28515625" collapsed="true"/>
    <col min="4" max="4" bestFit="true" customWidth="true" style="2" width="10.85546875" collapsed="true"/>
    <col min="5" max="5" bestFit="true" customWidth="true" style="2" width="16.42578125" collapsed="true"/>
    <col min="6" max="6" bestFit="true" customWidth="true" style="2" width="12.7109375" collapsed="true"/>
    <col min="7" max="7" bestFit="true" customWidth="true" style="2" width="6.5703125" collapsed="true"/>
    <col min="8" max="8" bestFit="true" customWidth="true" style="2" width="12.0" collapsed="true"/>
    <col min="9" max="9" bestFit="true" customWidth="true" style="2" width="11.42578125" collapsed="true"/>
    <col min="10" max="10" bestFit="true" customWidth="true" style="2" width="12.42578125" collapsed="true"/>
    <col min="11" max="11" bestFit="true" customWidth="true" style="2" width="11.140625" collapsed="true"/>
    <col min="12" max="12" bestFit="true" customWidth="true" style="2" width="15.140625" collapsed="true"/>
    <col min="13" max="13" bestFit="true" customWidth="true" style="2" width="10.0" collapsed="true"/>
    <col min="14" max="14" bestFit="true" customWidth="true" style="2" width="10.28515625" collapsed="true"/>
    <col min="15" max="15" bestFit="true" customWidth="true" style="2" width="11.5703125" collapsed="true"/>
    <col min="16" max="16" bestFit="true" customWidth="true" style="2" width="12.140625" collapsed="true"/>
    <col min="17" max="17" bestFit="true" customWidth="true" style="2" width="11.42578125" collapsed="true"/>
    <col min="18" max="18" bestFit="true" customWidth="true" style="2" width="17.7109375" collapsed="true"/>
    <col min="19" max="19" bestFit="true" customWidth="true" style="2" width="12.0" collapsed="true"/>
    <col min="20" max="20" bestFit="true" customWidth="true" style="2" width="10.5703125" collapsed="true"/>
    <col min="21" max="16384" style="2" width="9.140625" collapsed="true"/>
  </cols>
  <sheetData>
    <row r="1" spans="1:21" ht="15.75" thickBot="1" x14ac:dyDescent="0.3">
      <c r="A1" s="17" t="s">
        <v>83</v>
      </c>
      <c r="B1"/>
      <c r="C1" s="77"/>
      <c r="D1" s="77"/>
      <c r="E1" s="77"/>
      <c r="H1" s="77"/>
      <c r="I1" s="77"/>
      <c r="J1" s="77"/>
      <c r="K1" s="77"/>
      <c r="L1" s="77"/>
      <c r="M1" s="77"/>
      <c r="N1" s="77"/>
      <c r="O1" s="77"/>
      <c r="P1" s="77"/>
      <c r="Q1" s="77"/>
    </row>
    <row r="2" spans="1:21" s="9" customFormat="1" ht="16.5" thickTop="1" thickBot="1" x14ac:dyDescent="0.3">
      <c r="A2" s="1" t="s">
        <v>53</v>
      </c>
      <c r="B2" s="1" t="s">
        <v>3</v>
      </c>
      <c r="C2" s="1" t="s">
        <v>206</v>
      </c>
      <c r="D2" s="1" t="s">
        <v>207</v>
      </c>
      <c r="E2" s="1" t="s">
        <v>39</v>
      </c>
      <c r="F2" s="1" t="s">
        <v>40</v>
      </c>
      <c r="G2" s="1" t="s">
        <v>81</v>
      </c>
      <c r="H2" s="1" t="s">
        <v>41</v>
      </c>
      <c r="I2" s="1" t="s">
        <v>42</v>
      </c>
      <c r="J2" s="1" t="s">
        <v>43</v>
      </c>
      <c r="K2" s="1" t="s">
        <v>44</v>
      </c>
      <c r="L2" s="1" t="s">
        <v>45</v>
      </c>
      <c r="M2" s="1" t="s">
        <v>46</v>
      </c>
      <c r="N2" s="1" t="s">
        <v>47</v>
      </c>
      <c r="O2" s="1" t="s">
        <v>48</v>
      </c>
      <c r="P2" s="1" t="s">
        <v>49</v>
      </c>
      <c r="Q2" s="1" t="s">
        <v>50</v>
      </c>
      <c r="R2" s="1" t="s">
        <v>52</v>
      </c>
      <c r="S2" s="1" t="s">
        <v>51</v>
      </c>
      <c r="T2" s="1" t="s">
        <v>8</v>
      </c>
      <c r="U2" s="49"/>
    </row>
    <row r="3" spans="1:21" s="9" customFormat="1" ht="15.75" thickTop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</customSheetView>
  </customSheetViews>
  <mergeCells count="2">
    <mergeCell ref="C1:E1"/>
    <mergeCell ref="H1:Q1"/>
  </mergeCells>
  <hyperlinks>
    <hyperlink ref="A1" location="Summary!A1" display="Summary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88F1653B-04B2-4718-A898-6676E84AA3C8}">
            <xm:f>$A3=myStatus!$A$5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9EF03FF-9978-431E-B457-85D70229CFCD}">
            <xm:f>$A3=myStatus!$A$4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3398CF9A-4AB2-4DFE-A078-7E4421E53F14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A3:P1048576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bestFit="true" customWidth="true" style="2" width="9.42578125" collapsed="true"/>
    <col min="2" max="2" customWidth="true" style="2" width="13.42578125" collapsed="true"/>
    <col min="3" max="3" bestFit="true" customWidth="true" style="2" width="8.140625" collapsed="true"/>
    <col min="4" max="4" bestFit="true" customWidth="true" style="2" width="47.85546875" collapsed="true"/>
    <col min="5" max="5" bestFit="true" customWidth="true" style="2" width="86.140625" collapsed="true"/>
    <col min="6" max="6" bestFit="true" customWidth="true" style="2" width="189.85546875" collapsed="true"/>
    <col min="7" max="16384" style="2" width="9.140625" collapsed="true"/>
  </cols>
  <sheetData>
    <row r="1" spans="1:6" ht="15.75" thickBot="1" x14ac:dyDescent="0.3">
      <c r="A1" s="13" t="s">
        <v>83</v>
      </c>
      <c r="B1" s="13"/>
      <c r="C1" s="13"/>
      <c r="D1" s="13"/>
      <c r="E1" s="13"/>
      <c r="F1" s="13"/>
    </row>
    <row r="2" spans="1:6" ht="15.75" thickTop="1" x14ac:dyDescent="0.25">
      <c r="A2" s="15" t="s">
        <v>3</v>
      </c>
      <c r="B2" s="52" t="s">
        <v>67</v>
      </c>
      <c r="C2" s="52" t="s">
        <v>210</v>
      </c>
      <c r="D2" s="52" t="s">
        <v>68</v>
      </c>
      <c r="E2" s="52" t="s">
        <v>69</v>
      </c>
      <c r="F2" s="52" t="s">
        <v>70</v>
      </c>
    </row>
    <row r="3" spans="1:6" x14ac:dyDescent="0.25">
      <c r="E3" s="53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5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9" width="48.5703125" collapsed="true"/>
    <col min="2" max="2" bestFit="true" customWidth="true" style="49" width="9.7109375" collapsed="true"/>
    <col min="3" max="3" bestFit="true" customWidth="true" style="49" width="8.5703125" collapsed="true"/>
    <col min="4" max="4" bestFit="true" customWidth="true" style="49" width="15.0" collapsed="true"/>
    <col min="5" max="5" bestFit="true" customWidth="true" style="49" width="8.0" collapsed="true"/>
    <col min="6" max="6" bestFit="true" customWidth="true" style="49" width="39.0" collapsed="true"/>
    <col min="7" max="7" bestFit="true" customWidth="true" style="49" width="17.7109375" collapsed="true"/>
    <col min="8" max="10" bestFit="true" customWidth="true" style="49" width="255.7109375" collapsed="true"/>
    <col min="11" max="11" bestFit="true" customWidth="true" style="49" width="18.28515625" collapsed="true"/>
    <col min="12" max="16384" style="49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49"/>
    </row>
    <row r="2" spans="1:12" s="19" customFormat="1" ht="15.75" thickTop="1" x14ac:dyDescent="0.25"/>
    <row r="3" spans="1:12" s="19" customFormat="1" x14ac:dyDescent="0.25"/>
    <row r="4" spans="1:12" s="19" customFormat="1" x14ac:dyDescent="0.25"/>
    <row r="5" spans="1:12" s="19" customFormat="1" x14ac:dyDescent="0.25"/>
    <row r="6" spans="1:12" s="19" customFormat="1" x14ac:dyDescent="0.25"/>
    <row r="7" spans="1:12" s="19" customFormat="1" x14ac:dyDescent="0.25"/>
    <row r="8" spans="1:12" s="19" customFormat="1" x14ac:dyDescent="0.25"/>
    <row r="9" spans="1:12" s="19" customFormat="1" x14ac:dyDescent="0.25"/>
    <row r="10" spans="1:12" s="19" customFormat="1" x14ac:dyDescent="0.25"/>
    <row r="11" spans="1:12" s="19" customFormat="1" x14ac:dyDescent="0.25"/>
    <row r="12" spans="1:12" s="19" customFormat="1" x14ac:dyDescent="0.25"/>
    <row r="13" spans="1:12" s="19" customFormat="1" x14ac:dyDescent="0.25"/>
    <row r="14" spans="1:12" s="19" customFormat="1" x14ac:dyDescent="0.25"/>
    <row r="15" spans="1:12" s="19" customFormat="1" x14ac:dyDescent="0.25"/>
    <row r="16" spans="1:12" s="19" customFormat="1" x14ac:dyDescent="0.25"/>
    <row r="17" s="19" customFormat="1" x14ac:dyDescent="0.25"/>
    <row r="18" s="19" customForma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</sheetData>
  <autoFilter ref="A1:L60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91DACC-3478-4E7D-8E39-DAD579E41C9A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6041E8A2-A469-49F0-80D4-63269D322AD6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27C8CF1C-4F11-494A-A299-2E5A1865895D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4" id="{CE34AFF0-C0FD-4659-A095-19063979654C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" id="{61B0AB2D-8629-4915-B166-3B4991B6066A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E2D47F42-4BFD-412F-A2EC-63E9E62A9B51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3"/>
  <sheetViews>
    <sheetView zoomScale="85" zoomScaleNormal="85" workbookViewId="0">
      <pane ySplit="2" topLeftCell="A3" activePane="bottomLeft" state="frozen"/>
      <selection pane="bottomLeft" activeCell="J8" sqref="J8"/>
    </sheetView>
  </sheetViews>
  <sheetFormatPr defaultRowHeight="15" x14ac:dyDescent="0.25"/>
  <cols>
    <col min="1" max="1" bestFit="true" customWidth="true" style="5" width="9.42578125" collapsed="true"/>
    <col min="2" max="2" bestFit="true" customWidth="true" style="5" width="9.28515625" collapsed="true"/>
    <col min="3" max="3" bestFit="true" customWidth="true" style="5" width="10.42578125" collapsed="true"/>
    <col min="4" max="4" customWidth="true" style="5" width="99.85546875" collapsed="true"/>
    <col min="5" max="5" bestFit="true" customWidth="true" style="5" width="8.0" collapsed="true"/>
    <col min="6" max="6" bestFit="true" customWidth="true" style="5" width="10.7109375" collapsed="true"/>
    <col min="7" max="7" bestFit="true" customWidth="true" style="5" width="13.85546875" collapsed="true"/>
    <col min="8" max="8" customWidth="true" style="5" width="12.28515625" collapsed="true"/>
    <col min="9" max="10" bestFit="true" customWidth="true" style="5" width="10.85546875" collapsed="true"/>
    <col min="11" max="16384" style="5" width="9.140625" collapsed="true"/>
  </cols>
  <sheetData>
    <row r="1" spans="1:9" x14ac:dyDescent="0.25">
      <c r="A1" s="14" t="s">
        <v>83</v>
      </c>
      <c r="B1" s="14"/>
      <c r="C1" s="14"/>
      <c r="D1" s="14"/>
      <c r="E1" s="14"/>
      <c r="F1" s="14"/>
    </row>
    <row r="2" spans="1:9" s="2" customFormat="1" x14ac:dyDescent="0.25">
      <c r="A2" s="4" t="s">
        <v>3</v>
      </c>
      <c r="B2" s="4" t="s">
        <v>6</v>
      </c>
      <c r="C2" s="4"/>
      <c r="D2" s="4"/>
      <c r="E2" s="4"/>
      <c r="F2" s="4" t="s">
        <v>10</v>
      </c>
    </row>
    <row r="3" spans="1:9" ht="20.25" thickBot="1" x14ac:dyDescent="0.35">
      <c r="A3" s="3" t="s">
        <v>202</v>
      </c>
      <c r="B3" s="3" t="s">
        <v>219</v>
      </c>
      <c r="C3" s="3" t="s">
        <v>238</v>
      </c>
      <c r="D3" s="3" t="s">
        <v>232</v>
      </c>
      <c r="E3" s="3"/>
      <c r="F3" s="3"/>
      <c r="G3" s="51" t="s">
        <v>204</v>
      </c>
      <c r="H3" s="51" t="s">
        <v>205</v>
      </c>
      <c r="I3" s="51" t="s">
        <v>211</v>
      </c>
    </row>
    <row r="4" spans="1:9" ht="15.75" thickTop="1" x14ac:dyDescent="0.25">
      <c r="A4" s="3" t="s">
        <v>202</v>
      </c>
      <c r="B4" s="3" t="s">
        <v>220</v>
      </c>
      <c r="C4" s="3" t="s">
        <v>239</v>
      </c>
      <c r="D4" s="3" t="s">
        <v>245</v>
      </c>
      <c r="E4" s="3"/>
      <c r="F4" s="3"/>
    </row>
    <row r="5" spans="1:9" x14ac:dyDescent="0.25">
      <c r="A5" s="3" t="s">
        <v>202</v>
      </c>
      <c r="B5" s="3" t="s">
        <v>221</v>
      </c>
      <c r="C5" s="3" t="s">
        <v>240</v>
      </c>
      <c r="D5" s="3" t="s">
        <v>246</v>
      </c>
      <c r="E5" s="3"/>
      <c r="F5" s="3"/>
    </row>
    <row r="6" spans="1:9" x14ac:dyDescent="0.25">
      <c r="A6" s="3" t="s">
        <v>202</v>
      </c>
      <c r="B6" s="3" t="s">
        <v>222</v>
      </c>
      <c r="C6" s="3" t="s">
        <v>241</v>
      </c>
      <c r="D6" s="3" t="s">
        <v>247</v>
      </c>
      <c r="E6" s="3"/>
      <c r="F6" s="3"/>
    </row>
    <row r="7" spans="1:9" x14ac:dyDescent="0.25">
      <c r="A7" s="3" t="s">
        <v>202</v>
      </c>
      <c r="B7" s="3" t="s">
        <v>175</v>
      </c>
      <c r="C7" s="3" t="s">
        <v>241</v>
      </c>
      <c r="D7" s="3" t="s">
        <v>233</v>
      </c>
      <c r="E7" s="3"/>
      <c r="F7" s="3"/>
    </row>
    <row r="8" spans="1:9" x14ac:dyDescent="0.25">
      <c r="A8" s="3" t="s">
        <v>202</v>
      </c>
      <c r="B8" s="3" t="s">
        <v>223</v>
      </c>
      <c r="C8" s="3" t="s">
        <v>241</v>
      </c>
      <c r="D8" s="3" t="s">
        <v>248</v>
      </c>
      <c r="E8" s="3"/>
      <c r="F8" s="3"/>
    </row>
    <row r="9" spans="1:9" x14ac:dyDescent="0.25">
      <c r="A9" s="3" t="s">
        <v>202</v>
      </c>
      <c r="B9" s="3" t="s">
        <v>222</v>
      </c>
      <c r="C9" s="3" t="s">
        <v>241</v>
      </c>
      <c r="D9" s="3" t="s">
        <v>249</v>
      </c>
      <c r="E9" s="3"/>
      <c r="F9" s="3"/>
    </row>
    <row r="10" spans="1:9" x14ac:dyDescent="0.25">
      <c r="A10" s="3" t="s">
        <v>202</v>
      </c>
      <c r="B10" s="3" t="s">
        <v>175</v>
      </c>
      <c r="C10" s="3" t="s">
        <v>241</v>
      </c>
      <c r="D10" s="3" t="s">
        <v>234</v>
      </c>
      <c r="E10" s="3"/>
      <c r="F10" s="3"/>
    </row>
    <row r="11" spans="1:9" x14ac:dyDescent="0.25">
      <c r="A11" s="3" t="s">
        <v>202</v>
      </c>
      <c r="B11" s="3" t="s">
        <v>224</v>
      </c>
      <c r="C11" s="3" t="s">
        <v>241</v>
      </c>
      <c r="D11" s="3" t="s">
        <v>250</v>
      </c>
      <c r="E11" s="3"/>
      <c r="F11" s="3"/>
    </row>
    <row r="12" spans="1:9" x14ac:dyDescent="0.25">
      <c r="A12" s="3" t="s">
        <v>202</v>
      </c>
      <c r="B12" s="3" t="s">
        <v>225</v>
      </c>
      <c r="C12" s="3" t="s">
        <v>241</v>
      </c>
      <c r="D12" s="3" t="s">
        <v>235</v>
      </c>
      <c r="E12" s="3"/>
      <c r="F12" s="3"/>
    </row>
    <row r="13" spans="1:9" x14ac:dyDescent="0.25">
      <c r="A13" s="3" t="s">
        <v>202</v>
      </c>
      <c r="B13" s="3" t="s">
        <v>175</v>
      </c>
      <c r="C13" s="3" t="s">
        <v>241</v>
      </c>
      <c r="D13" s="3" t="s">
        <v>236</v>
      </c>
      <c r="E13" s="3"/>
      <c r="F13" s="3"/>
    </row>
    <row r="14" spans="1:9" x14ac:dyDescent="0.25">
      <c r="A14" s="3" t="s">
        <v>202</v>
      </c>
      <c r="B14" s="3" t="s">
        <v>226</v>
      </c>
      <c r="C14" s="3" t="s">
        <v>241</v>
      </c>
      <c r="D14" s="3" t="s">
        <v>251</v>
      </c>
      <c r="E14" s="3"/>
      <c r="F14" s="3"/>
    </row>
    <row r="15" spans="1:9" x14ac:dyDescent="0.25">
      <c r="A15" s="3" t="s">
        <v>202</v>
      </c>
      <c r="B15" s="3" t="s">
        <v>227</v>
      </c>
      <c r="C15" s="3" t="s">
        <v>241</v>
      </c>
      <c r="D15" s="3" t="s">
        <v>252</v>
      </c>
      <c r="E15" s="3"/>
      <c r="F15" s="3"/>
    </row>
    <row r="16" spans="1:9" x14ac:dyDescent="0.25">
      <c r="A16" s="3" t="s">
        <v>202</v>
      </c>
      <c r="B16" s="3" t="s">
        <v>176</v>
      </c>
      <c r="C16" s="3" t="s">
        <v>241</v>
      </c>
      <c r="D16" s="3" t="s">
        <v>253</v>
      </c>
      <c r="E16" s="3"/>
      <c r="F16" s="3"/>
    </row>
    <row r="17" spans="1:6" x14ac:dyDescent="0.25">
      <c r="A17" s="3" t="s">
        <v>202</v>
      </c>
      <c r="B17" s="3" t="s">
        <v>176</v>
      </c>
      <c r="C17" s="3" t="s">
        <v>241</v>
      </c>
      <c r="D17" s="3" t="s">
        <v>237</v>
      </c>
      <c r="E17" s="3"/>
      <c r="F17" s="3"/>
    </row>
    <row r="18" spans="1:6" x14ac:dyDescent="0.25">
      <c r="A18" s="3" t="s">
        <v>202</v>
      </c>
      <c r="B18" s="3" t="s">
        <v>228</v>
      </c>
      <c r="C18" s="3" t="s">
        <v>242</v>
      </c>
      <c r="D18" s="3" t="s">
        <v>254</v>
      </c>
      <c r="E18" s="3"/>
      <c r="F18" s="3"/>
    </row>
    <row r="19" spans="1:6" x14ac:dyDescent="0.25">
      <c r="A19" s="3" t="s">
        <v>202</v>
      </c>
      <c r="B19" s="3" t="s">
        <v>178</v>
      </c>
      <c r="C19" s="3" t="s">
        <v>243</v>
      </c>
      <c r="D19" s="3" t="s">
        <v>255</v>
      </c>
      <c r="E19" s="3"/>
      <c r="F19" s="3"/>
    </row>
    <row r="20" spans="1:6" x14ac:dyDescent="0.25">
      <c r="A20" s="3" t="s">
        <v>202</v>
      </c>
      <c r="B20" s="3" t="s">
        <v>178</v>
      </c>
      <c r="C20" s="3" t="s">
        <v>243</v>
      </c>
      <c r="D20" s="3" t="s">
        <v>256</v>
      </c>
      <c r="E20" s="3"/>
      <c r="F20" s="3"/>
    </row>
    <row r="21" spans="1:6" x14ac:dyDescent="0.25">
      <c r="A21" s="3" t="s">
        <v>202</v>
      </c>
      <c r="B21" s="3" t="s">
        <v>178</v>
      </c>
      <c r="C21" s="3" t="s">
        <v>243</v>
      </c>
      <c r="D21" s="3" t="s">
        <v>257</v>
      </c>
      <c r="E21" s="3"/>
      <c r="F21" s="3"/>
    </row>
    <row r="22" spans="1:6" x14ac:dyDescent="0.25">
      <c r="A22" s="3" t="s">
        <v>202</v>
      </c>
      <c r="B22" s="3" t="s">
        <v>178</v>
      </c>
      <c r="C22" s="3" t="s">
        <v>243</v>
      </c>
      <c r="D22" s="3" t="s">
        <v>258</v>
      </c>
      <c r="E22" s="3"/>
      <c r="F22" s="3"/>
    </row>
    <row r="23" spans="1:6" x14ac:dyDescent="0.25">
      <c r="A23" s="3" t="s">
        <v>202</v>
      </c>
      <c r="B23" s="3" t="s">
        <v>178</v>
      </c>
      <c r="C23" s="3" t="s">
        <v>243</v>
      </c>
      <c r="D23" s="3" t="s">
        <v>259</v>
      </c>
      <c r="E23" s="3"/>
      <c r="F23" s="3"/>
    </row>
    <row r="24" spans="1:6" x14ac:dyDescent="0.25">
      <c r="A24" s="3" t="s">
        <v>202</v>
      </c>
      <c r="B24" s="3" t="s">
        <v>178</v>
      </c>
      <c r="C24" s="3" t="s">
        <v>243</v>
      </c>
      <c r="D24" s="3" t="s">
        <v>260</v>
      </c>
      <c r="E24" s="3"/>
      <c r="F24" s="3"/>
    </row>
    <row r="25" spans="1:6" x14ac:dyDescent="0.25">
      <c r="A25" s="3" t="s">
        <v>202</v>
      </c>
      <c r="B25" s="3" t="s">
        <v>178</v>
      </c>
      <c r="C25" s="3" t="s">
        <v>243</v>
      </c>
      <c r="D25" s="3" t="s">
        <v>261</v>
      </c>
      <c r="E25" s="3"/>
      <c r="F25" s="3"/>
    </row>
    <row r="26" spans="1:6" x14ac:dyDescent="0.25">
      <c r="A26" s="3" t="s">
        <v>202</v>
      </c>
      <c r="B26" s="3" t="s">
        <v>178</v>
      </c>
      <c r="C26" s="3" t="s">
        <v>243</v>
      </c>
      <c r="D26" s="3" t="s">
        <v>262</v>
      </c>
      <c r="E26" s="3"/>
      <c r="F26" s="3"/>
    </row>
    <row r="27" spans="1:6" x14ac:dyDescent="0.25">
      <c r="A27" s="3" t="s">
        <v>202</v>
      </c>
      <c r="B27" s="3" t="s">
        <v>178</v>
      </c>
      <c r="C27" s="3" t="s">
        <v>241</v>
      </c>
      <c r="D27" s="3" t="s">
        <v>263</v>
      </c>
      <c r="E27" s="3"/>
      <c r="F27" s="3"/>
    </row>
    <row r="28" spans="1:6" x14ac:dyDescent="0.25">
      <c r="A28" s="3" t="s">
        <v>202</v>
      </c>
      <c r="B28" s="3" t="s">
        <v>226</v>
      </c>
      <c r="C28" s="3" t="s">
        <v>241</v>
      </c>
      <c r="D28" s="3" t="s">
        <v>264</v>
      </c>
      <c r="E28" s="3"/>
      <c r="F28" s="3"/>
    </row>
    <row r="29" spans="1:6" x14ac:dyDescent="0.25">
      <c r="A29" s="3" t="s">
        <v>202</v>
      </c>
      <c r="B29" s="3" t="s">
        <v>226</v>
      </c>
      <c r="C29" s="3" t="s">
        <v>241</v>
      </c>
      <c r="D29" s="3" t="s">
        <v>265</v>
      </c>
      <c r="E29" s="3"/>
      <c r="F29" s="3"/>
    </row>
    <row r="30" spans="1:6" x14ac:dyDescent="0.25">
      <c r="A30" s="3" t="s">
        <v>202</v>
      </c>
      <c r="B30" s="3" t="s">
        <v>226</v>
      </c>
      <c r="C30" s="3" t="s">
        <v>241</v>
      </c>
      <c r="D30" s="3" t="s">
        <v>266</v>
      </c>
      <c r="E30" s="3"/>
      <c r="F30" s="3"/>
    </row>
    <row r="31" spans="1:6" x14ac:dyDescent="0.25">
      <c r="A31" s="3" t="s">
        <v>202</v>
      </c>
      <c r="B31" s="3" t="s">
        <v>226</v>
      </c>
      <c r="C31" s="3" t="s">
        <v>241</v>
      </c>
      <c r="D31" s="3" t="s">
        <v>267</v>
      </c>
      <c r="E31" s="3"/>
      <c r="F31" s="3"/>
    </row>
    <row r="32" spans="1:6" x14ac:dyDescent="0.25">
      <c r="A32" s="3" t="s">
        <v>202</v>
      </c>
      <c r="B32" s="3" t="s">
        <v>226</v>
      </c>
      <c r="C32" s="3" t="s">
        <v>241</v>
      </c>
      <c r="D32" s="3" t="s">
        <v>268</v>
      </c>
      <c r="E32" s="3"/>
      <c r="F32" s="3"/>
    </row>
    <row r="33" spans="1:6" x14ac:dyDescent="0.25">
      <c r="A33" s="3" t="s">
        <v>202</v>
      </c>
      <c r="B33" s="3" t="s">
        <v>226</v>
      </c>
      <c r="C33" s="3" t="s">
        <v>241</v>
      </c>
      <c r="D33" s="3" t="s">
        <v>269</v>
      </c>
      <c r="E33" s="3"/>
      <c r="F33" s="3"/>
    </row>
    <row r="34" spans="1:6" x14ac:dyDescent="0.25">
      <c r="A34" s="3" t="s">
        <v>202</v>
      </c>
      <c r="B34" s="3" t="s">
        <v>226</v>
      </c>
      <c r="C34" s="3" t="s">
        <v>241</v>
      </c>
      <c r="D34" s="3" t="s">
        <v>270</v>
      </c>
      <c r="E34" s="3"/>
      <c r="F34" s="3"/>
    </row>
    <row r="35" spans="1:6" x14ac:dyDescent="0.25">
      <c r="A35" s="3" t="s">
        <v>202</v>
      </c>
      <c r="B35" s="3" t="s">
        <v>178</v>
      </c>
      <c r="C35" s="3" t="s">
        <v>243</v>
      </c>
      <c r="D35" s="3" t="s">
        <v>271</v>
      </c>
      <c r="E35" s="3"/>
      <c r="F35" s="3"/>
    </row>
    <row r="36" spans="1:6" x14ac:dyDescent="0.25">
      <c r="A36" s="3" t="s">
        <v>202</v>
      </c>
      <c r="B36" s="3" t="s">
        <v>178</v>
      </c>
      <c r="C36" s="3" t="s">
        <v>243</v>
      </c>
      <c r="D36" s="3" t="s">
        <v>272</v>
      </c>
      <c r="E36" s="3"/>
      <c r="F36" s="3"/>
    </row>
    <row r="37" spans="1:6" x14ac:dyDescent="0.25">
      <c r="A37" s="3" t="s">
        <v>202</v>
      </c>
      <c r="B37" s="3" t="s">
        <v>178</v>
      </c>
      <c r="C37" s="3" t="s">
        <v>243</v>
      </c>
      <c r="D37" s="3" t="s">
        <v>273</v>
      </c>
      <c r="E37" s="3"/>
      <c r="F37" s="3"/>
    </row>
    <row r="38" spans="1:6" x14ac:dyDescent="0.25">
      <c r="A38" s="3" t="s">
        <v>202</v>
      </c>
      <c r="B38" s="3" t="s">
        <v>178</v>
      </c>
      <c r="C38" s="3" t="s">
        <v>243</v>
      </c>
      <c r="D38" s="3" t="s">
        <v>274</v>
      </c>
      <c r="E38" s="3"/>
      <c r="F38" s="3"/>
    </row>
    <row r="39" spans="1:6" x14ac:dyDescent="0.25">
      <c r="A39" s="3" t="s">
        <v>202</v>
      </c>
      <c r="B39" s="3" t="s">
        <v>178</v>
      </c>
      <c r="C39" s="3" t="s">
        <v>243</v>
      </c>
      <c r="D39" s="3" t="s">
        <v>275</v>
      </c>
      <c r="E39" s="3"/>
      <c r="F39" s="3"/>
    </row>
    <row r="40" spans="1:6" x14ac:dyDescent="0.25">
      <c r="A40" s="3" t="s">
        <v>202</v>
      </c>
      <c r="B40" s="3" t="s">
        <v>178</v>
      </c>
      <c r="C40" s="3" t="s">
        <v>243</v>
      </c>
      <c r="D40" s="3" t="s">
        <v>276</v>
      </c>
      <c r="E40" s="3"/>
      <c r="F40" s="3"/>
    </row>
    <row r="41" spans="1:6" x14ac:dyDescent="0.25">
      <c r="A41" s="3" t="s">
        <v>202</v>
      </c>
      <c r="B41" s="3" t="s">
        <v>178</v>
      </c>
      <c r="C41" s="3" t="s">
        <v>243</v>
      </c>
      <c r="D41" s="3" t="s">
        <v>277</v>
      </c>
      <c r="E41" s="3"/>
      <c r="F41" s="3"/>
    </row>
    <row r="42" spans="1:6" x14ac:dyDescent="0.25">
      <c r="A42" s="3" t="s">
        <v>202</v>
      </c>
      <c r="B42" s="3" t="s">
        <v>178</v>
      </c>
      <c r="C42" s="3" t="s">
        <v>239</v>
      </c>
      <c r="D42" s="3" t="s">
        <v>278</v>
      </c>
      <c r="E42" s="3"/>
      <c r="F42" s="3"/>
    </row>
    <row r="43" spans="1:6" x14ac:dyDescent="0.25">
      <c r="A43" s="3" t="s">
        <v>202</v>
      </c>
      <c r="B43" s="3" t="s">
        <v>178</v>
      </c>
      <c r="C43" s="3" t="s">
        <v>239</v>
      </c>
      <c r="D43" s="3" t="s">
        <v>279</v>
      </c>
      <c r="E43" s="3"/>
      <c r="F43" s="3"/>
    </row>
    <row r="44" spans="1:6" x14ac:dyDescent="0.25">
      <c r="A44" s="3" t="s">
        <v>202</v>
      </c>
      <c r="B44" s="3" t="s">
        <v>178</v>
      </c>
      <c r="C44" s="3" t="s">
        <v>239</v>
      </c>
      <c r="D44" s="3" t="s">
        <v>280</v>
      </c>
      <c r="E44" s="3"/>
      <c r="F44" s="3"/>
    </row>
    <row r="45" spans="1:6" x14ac:dyDescent="0.25">
      <c r="A45" s="3" t="s">
        <v>202</v>
      </c>
      <c r="B45" s="3" t="s">
        <v>178</v>
      </c>
      <c r="C45" s="3" t="s">
        <v>239</v>
      </c>
      <c r="D45" s="3" t="s">
        <v>281</v>
      </c>
      <c r="E45" s="3"/>
      <c r="F45" s="3"/>
    </row>
    <row r="46" spans="1:6" x14ac:dyDescent="0.25">
      <c r="A46" s="3" t="s">
        <v>202</v>
      </c>
      <c r="B46" s="3" t="s">
        <v>178</v>
      </c>
      <c r="C46" s="3" t="s">
        <v>239</v>
      </c>
      <c r="D46" s="3" t="s">
        <v>282</v>
      </c>
      <c r="E46" s="3"/>
      <c r="F46" s="3"/>
    </row>
    <row r="47" spans="1:6" x14ac:dyDescent="0.25">
      <c r="A47" s="3" t="s">
        <v>202</v>
      </c>
      <c r="B47" s="3" t="s">
        <v>178</v>
      </c>
      <c r="C47" s="3" t="s">
        <v>239</v>
      </c>
      <c r="D47" s="3" t="s">
        <v>283</v>
      </c>
      <c r="E47" s="3"/>
      <c r="F47" s="3"/>
    </row>
    <row r="48" spans="1:6" x14ac:dyDescent="0.25">
      <c r="A48" s="3" t="s">
        <v>202</v>
      </c>
      <c r="B48" s="3" t="s">
        <v>227</v>
      </c>
      <c r="C48" s="3" t="s">
        <v>241</v>
      </c>
      <c r="D48" s="3" t="s">
        <v>284</v>
      </c>
      <c r="E48" s="3"/>
      <c r="F48" s="3"/>
    </row>
    <row r="49" spans="1:6" x14ac:dyDescent="0.25">
      <c r="A49" s="3" t="s">
        <v>202</v>
      </c>
      <c r="B49" s="3" t="s">
        <v>229</v>
      </c>
      <c r="C49" s="3" t="s">
        <v>241</v>
      </c>
      <c r="D49" s="3" t="s">
        <v>285</v>
      </c>
      <c r="E49" s="3"/>
      <c r="F49" s="3"/>
    </row>
    <row r="50" spans="1:6" x14ac:dyDescent="0.25">
      <c r="A50" s="3" t="s">
        <v>202</v>
      </c>
      <c r="B50" s="3" t="s">
        <v>178</v>
      </c>
      <c r="C50" s="3" t="s">
        <v>239</v>
      </c>
      <c r="D50" s="3" t="s">
        <v>286</v>
      </c>
      <c r="E50" s="3"/>
      <c r="F50" s="3"/>
    </row>
    <row r="51" spans="1:6" x14ac:dyDescent="0.25">
      <c r="A51" s="3" t="s">
        <v>202</v>
      </c>
      <c r="B51" s="3" t="s">
        <v>230</v>
      </c>
      <c r="C51" s="3" t="s">
        <v>241</v>
      </c>
      <c r="D51" s="3" t="s">
        <v>287</v>
      </c>
      <c r="E51" s="3"/>
      <c r="F51" s="3"/>
    </row>
    <row r="52" spans="1:6" x14ac:dyDescent="0.25">
      <c r="A52" s="3" t="s">
        <v>202</v>
      </c>
      <c r="B52" s="3" t="s">
        <v>231</v>
      </c>
      <c r="C52" s="3" t="s">
        <v>238</v>
      </c>
      <c r="D52" s="3" t="s">
        <v>244</v>
      </c>
      <c r="E52" s="3"/>
      <c r="F52" s="3"/>
    </row>
    <row r="53" spans="1:6" x14ac:dyDescent="0.25">
      <c r="A53" s="3" t="s">
        <v>202</v>
      </c>
      <c r="B53" s="3" t="s">
        <v>178</v>
      </c>
      <c r="C53" s="3" t="s">
        <v>239</v>
      </c>
      <c r="D53" s="3" t="s">
        <v>288</v>
      </c>
      <c r="E53" s="3"/>
      <c r="F53" s="3"/>
    </row>
  </sheetData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D23"/>
    </customSheetView>
  </customSheetViews>
  <hyperlinks>
    <hyperlink ref="A1" location="Summary!A1" display="Summary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1" id="{E5E80AA1-4472-41C6-9565-5E75CB1AAEDC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2" id="{601E3DFE-039C-4995-9AD1-52BA30123948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3" id="{49AB62FD-A49D-4A0C-AB3C-E89DE4F30E4C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A3:A53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V23"/>
  <sheetViews>
    <sheetView zoomScale="85" zoomScaleNormal="85" workbookViewId="0">
      <pane ySplit="2" topLeftCell="A3" activePane="bottomLeft" state="frozen"/>
      <selection pane="bottomLeft" activeCell="D28" sqref="D28"/>
    </sheetView>
  </sheetViews>
  <sheetFormatPr defaultRowHeight="15" x14ac:dyDescent="0.25"/>
  <cols>
    <col min="1" max="1" bestFit="true" customWidth="true" style="2" width="9.28515625" collapsed="true"/>
    <col min="2" max="2" bestFit="true" customWidth="true" style="2" width="13.140625" collapsed="true"/>
    <col min="3" max="4" customWidth="true" style="2" width="101.0" collapsed="true"/>
    <col min="5" max="9" style="2" width="9.140625" collapsed="true"/>
    <col min="10" max="10" bestFit="true" customWidth="true" style="2" width="113.42578125" collapsed="true"/>
    <col min="11" max="16384" style="2" width="9.140625" collapsed="true"/>
  </cols>
  <sheetData>
    <row r="1" spans="1:516" ht="15.75" thickBot="1" x14ac:dyDescent="0.3">
      <c r="A1" s="13" t="s">
        <v>83</v>
      </c>
      <c r="B1" s="13"/>
      <c r="C1" s="13"/>
      <c r="D1" s="13"/>
    </row>
    <row r="2" spans="1:516" s="10" customFormat="1" ht="16.5" thickTop="1" thickBot="1" x14ac:dyDescent="0.3">
      <c r="A2" s="1" t="s">
        <v>3</v>
      </c>
      <c r="B2" s="1"/>
      <c r="C2" s="1" t="s">
        <v>9</v>
      </c>
      <c r="D2" s="1" t="s">
        <v>10</v>
      </c>
      <c r="E2" s="10" t="s">
        <v>4</v>
      </c>
    </row>
    <row r="3" spans="1:516" s="10" customFormat="1" ht="15.75" thickTop="1" x14ac:dyDescent="0.25">
      <c r="A3" s="3" t="s">
        <v>202</v>
      </c>
      <c r="B3" s="3" t="s">
        <v>11</v>
      </c>
      <c r="C3" s="3"/>
      <c r="D3" s="7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</row>
    <row r="4" spans="1:516" s="10" customFormat="1" x14ac:dyDescent="0.25">
      <c r="A4" s="3" t="s">
        <v>202</v>
      </c>
      <c r="B4" s="3" t="s">
        <v>12</v>
      </c>
      <c r="C4" s="3"/>
      <c r="D4" s="7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</row>
    <row r="5" spans="1:516" s="10" customFormat="1" x14ac:dyDescent="0.25">
      <c r="A5" s="3" t="s">
        <v>202</v>
      </c>
      <c r="B5" s="3" t="s">
        <v>13</v>
      </c>
      <c r="C5" s="3"/>
      <c r="D5" s="7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</row>
    <row r="6" spans="1:516" s="10" customFormat="1" x14ac:dyDescent="0.25">
      <c r="A6" s="3" t="s">
        <v>202</v>
      </c>
      <c r="B6" s="3" t="s">
        <v>14</v>
      </c>
      <c r="C6" s="3"/>
      <c r="D6" s="7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</row>
    <row r="7" spans="1:516" s="10" customFormat="1" x14ac:dyDescent="0.25">
      <c r="A7" s="3" t="s">
        <v>202</v>
      </c>
      <c r="B7" s="3" t="s">
        <v>15</v>
      </c>
      <c r="C7" s="3"/>
      <c r="D7" s="7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</row>
    <row r="8" spans="1:516" s="10" customFormat="1" x14ac:dyDescent="0.25">
      <c r="A8" s="3" t="s">
        <v>202</v>
      </c>
      <c r="B8" s="3" t="s">
        <v>16</v>
      </c>
      <c r="C8" s="3"/>
      <c r="D8" s="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</row>
    <row r="9" spans="1:516" s="10" customFormat="1" x14ac:dyDescent="0.25">
      <c r="A9" s="3" t="s">
        <v>202</v>
      </c>
      <c r="B9" s="3" t="s">
        <v>17</v>
      </c>
      <c r="C9" s="3"/>
      <c r="D9" s="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</row>
    <row r="10" spans="1:516" s="10" customFormat="1" x14ac:dyDescent="0.25">
      <c r="A10" s="3" t="s">
        <v>202</v>
      </c>
      <c r="B10" s="3" t="s">
        <v>18</v>
      </c>
      <c r="C10" s="3"/>
      <c r="D10" s="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</row>
    <row r="11" spans="1:516" s="10" customFormat="1" x14ac:dyDescent="0.25">
      <c r="A11" s="3" t="s">
        <v>202</v>
      </c>
      <c r="B11" s="3" t="s">
        <v>19</v>
      </c>
      <c r="C11" s="3"/>
      <c r="D11" s="7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</row>
    <row r="12" spans="1:516" s="10" customFormat="1" x14ac:dyDescent="0.25">
      <c r="A12" s="3" t="s">
        <v>202</v>
      </c>
      <c r="B12" s="3" t="s">
        <v>20</v>
      </c>
      <c r="C12" s="3"/>
      <c r="D12" s="7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</row>
    <row r="13" spans="1:516" s="10" customFormat="1" x14ac:dyDescent="0.25">
      <c r="A13" s="3" t="s">
        <v>202</v>
      </c>
      <c r="B13" s="3" t="s">
        <v>21</v>
      </c>
      <c r="C13" s="3"/>
      <c r="D13" s="7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</row>
    <row r="14" spans="1:516" s="10" customFormat="1" x14ac:dyDescent="0.25">
      <c r="A14" s="3" t="s">
        <v>202</v>
      </c>
      <c r="B14" s="3" t="s">
        <v>22</v>
      </c>
      <c r="C14" s="3"/>
      <c r="D14" s="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</row>
    <row r="15" spans="1:516" s="10" customFormat="1" x14ac:dyDescent="0.25">
      <c r="A15" s="3" t="s">
        <v>202</v>
      </c>
      <c r="B15" s="3" t="s">
        <v>23</v>
      </c>
      <c r="C15" s="3"/>
      <c r="D15" s="7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</row>
    <row r="16" spans="1:516" s="10" customFormat="1" x14ac:dyDescent="0.25">
      <c r="A16" s="3" t="s">
        <v>202</v>
      </c>
      <c r="B16" s="3" t="s">
        <v>24</v>
      </c>
      <c r="C16" s="3"/>
      <c r="D16" s="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</row>
    <row r="17" spans="1:516" s="10" customFormat="1" x14ac:dyDescent="0.25">
      <c r="A17" s="3" t="s">
        <v>202</v>
      </c>
      <c r="B17" s="3" t="s">
        <v>25</v>
      </c>
      <c r="C17" s="3"/>
      <c r="D17" s="7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</row>
    <row r="18" spans="1:516" s="10" customFormat="1" x14ac:dyDescent="0.25">
      <c r="A18" s="3" t="s">
        <v>202</v>
      </c>
      <c r="B18" s="3" t="s">
        <v>26</v>
      </c>
      <c r="C18" s="3"/>
      <c r="D18" s="7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</row>
    <row r="19" spans="1:516" s="10" customFormat="1" x14ac:dyDescent="0.25">
      <c r="A19" s="3" t="s">
        <v>202</v>
      </c>
      <c r="B19" s="3" t="s">
        <v>27</v>
      </c>
      <c r="C19" s="3"/>
      <c r="D19" s="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</row>
    <row r="20" spans="1:516" s="10" customFormat="1" x14ac:dyDescent="0.25">
      <c r="A20" s="3" t="s">
        <v>202</v>
      </c>
      <c r="B20" s="3" t="s">
        <v>28</v>
      </c>
      <c r="C20" s="3"/>
      <c r="D20" s="7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</row>
    <row r="21" spans="1:516" s="10" customFormat="1" x14ac:dyDescent="0.25">
      <c r="A21" s="3" t="s">
        <v>202</v>
      </c>
      <c r="B21" s="3" t="s">
        <v>29</v>
      </c>
      <c r="C21" s="3"/>
      <c r="D21" s="7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</row>
    <row r="22" spans="1:516" s="10" customFormat="1" x14ac:dyDescent="0.25">
      <c r="A22" s="3" t="s">
        <v>202</v>
      </c>
      <c r="B22" s="3" t="s">
        <v>30</v>
      </c>
      <c r="C22" s="3"/>
      <c r="D22" s="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</row>
    <row r="23" spans="1:516" x14ac:dyDescent="0.25">
      <c r="A23" s="3" t="s">
        <v>202</v>
      </c>
      <c r="B23" s="50" t="s">
        <v>203</v>
      </c>
      <c r="C23" s="50"/>
      <c r="D23" s="50"/>
    </row>
  </sheetData>
  <autoFilter ref="A2:C22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C22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4" id="{3F17E477-5F93-41D7-ABE2-1DDA7E2ACCBB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5" id="{7D18B5F9-2C4E-4D78-9F70-391EAC264F4C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6" id="{C968D73A-B24B-400C-BDE7-A6452FB3F1C3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A3:D23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2"/>
  <sheetViews>
    <sheetView topLeftCell="A22" workbookViewId="0">
      <selection activeCell="D34" sqref="D34"/>
    </sheetView>
  </sheetViews>
  <sheetFormatPr defaultRowHeight="15" x14ac:dyDescent="0.25"/>
  <cols>
    <col min="1" max="3" style="2" width="9.140625" collapsed="true"/>
    <col min="4" max="4" bestFit="true" customWidth="true" style="2" width="12.42578125" collapsed="true"/>
    <col min="5" max="16384" style="2" width="9.140625" collapsed="true"/>
  </cols>
  <sheetData>
    <row r="1" spans="1:4" ht="15.75" thickBot="1" x14ac:dyDescent="0.3">
      <c r="A1" s="12" t="s">
        <v>83</v>
      </c>
    </row>
    <row r="2" spans="1:4" ht="15.75" thickTop="1" x14ac:dyDescent="0.25">
      <c r="A2" s="16" t="s">
        <v>3</v>
      </c>
      <c r="B2" s="16" t="s">
        <v>71</v>
      </c>
      <c r="C2" s="16" t="s">
        <v>153</v>
      </c>
      <c r="D2" s="16" t="s">
        <v>82</v>
      </c>
    </row>
    <row r="3" spans="1:4" x14ac:dyDescent="0.25">
      <c r="A3" s="3" t="s">
        <v>0</v>
      </c>
      <c r="B3" s="7" t="s">
        <v>72</v>
      </c>
      <c r="C3" s="2" t="s">
        <v>73</v>
      </c>
      <c r="D3" s="3" t="s">
        <v>84</v>
      </c>
    </row>
    <row r="4" spans="1:4" x14ac:dyDescent="0.25">
      <c r="A4" s="3" t="s">
        <v>1</v>
      </c>
      <c r="B4" s="7" t="s">
        <v>74</v>
      </c>
      <c r="C4" s="7" t="s">
        <v>78</v>
      </c>
      <c r="D4" s="3" t="s">
        <v>85</v>
      </c>
    </row>
    <row r="5" spans="1:4" x14ac:dyDescent="0.25">
      <c r="A5" s="3" t="s">
        <v>2</v>
      </c>
      <c r="B5" s="7" t="s">
        <v>76</v>
      </c>
      <c r="C5" s="7" t="s">
        <v>79</v>
      </c>
      <c r="D5" s="3" t="s">
        <v>86</v>
      </c>
    </row>
    <row r="6" spans="1:4" x14ac:dyDescent="0.25">
      <c r="A6" s="3" t="s">
        <v>7</v>
      </c>
      <c r="C6" s="7" t="s">
        <v>77</v>
      </c>
      <c r="D6" s="3" t="s">
        <v>87</v>
      </c>
    </row>
    <row r="7" spans="1:4" x14ac:dyDescent="0.25">
      <c r="C7" s="7" t="s">
        <v>80</v>
      </c>
      <c r="D7" s="3" t="s">
        <v>88</v>
      </c>
    </row>
    <row r="8" spans="1:4" x14ac:dyDescent="0.25">
      <c r="C8" s="7" t="s">
        <v>75</v>
      </c>
      <c r="D8" s="3" t="s">
        <v>89</v>
      </c>
    </row>
    <row r="9" spans="1:4" x14ac:dyDescent="0.25">
      <c r="C9" s="47" t="s">
        <v>200</v>
      </c>
      <c r="D9" s="3" t="s">
        <v>90</v>
      </c>
    </row>
    <row r="10" spans="1:4" x14ac:dyDescent="0.25">
      <c r="D10" s="3" t="s">
        <v>91</v>
      </c>
    </row>
    <row r="11" spans="1:4" x14ac:dyDescent="0.25">
      <c r="A11"/>
      <c r="B11"/>
      <c r="C11"/>
      <c r="D11" s="3" t="s">
        <v>92</v>
      </c>
    </row>
    <row r="12" spans="1:4" x14ac:dyDescent="0.25">
      <c r="A12"/>
      <c r="B12"/>
      <c r="C12"/>
      <c r="D12" s="3" t="s">
        <v>93</v>
      </c>
    </row>
    <row r="13" spans="1:4" x14ac:dyDescent="0.25">
      <c r="D13" s="3" t="s">
        <v>94</v>
      </c>
    </row>
    <row r="14" spans="1:4" x14ac:dyDescent="0.25">
      <c r="D14" s="3" t="s">
        <v>95</v>
      </c>
    </row>
    <row r="15" spans="1:4" x14ac:dyDescent="0.25">
      <c r="D15" s="3" t="s">
        <v>96</v>
      </c>
    </row>
    <row r="16" spans="1:4" x14ac:dyDescent="0.25">
      <c r="D16" s="3" t="s">
        <v>97</v>
      </c>
    </row>
    <row r="17" spans="4:4" x14ac:dyDescent="0.25">
      <c r="D17" s="3" t="s">
        <v>98</v>
      </c>
    </row>
    <row r="18" spans="4:4" x14ac:dyDescent="0.25">
      <c r="D18" s="3" t="s">
        <v>99</v>
      </c>
    </row>
    <row r="19" spans="4:4" x14ac:dyDescent="0.25">
      <c r="D19" s="3" t="s">
        <v>100</v>
      </c>
    </row>
    <row r="20" spans="4:4" x14ac:dyDescent="0.25">
      <c r="D20" s="3" t="s">
        <v>101</v>
      </c>
    </row>
    <row r="21" spans="4:4" x14ac:dyDescent="0.25">
      <c r="D21" s="3" t="s">
        <v>102</v>
      </c>
    </row>
    <row r="22" spans="4:4" x14ac:dyDescent="0.25">
      <c r="D22" s="3" t="s">
        <v>103</v>
      </c>
    </row>
    <row r="23" spans="4:4" x14ac:dyDescent="0.25">
      <c r="D23" s="3" t="s">
        <v>104</v>
      </c>
    </row>
    <row r="24" spans="4:4" x14ac:dyDescent="0.25">
      <c r="D24" s="3" t="s">
        <v>105</v>
      </c>
    </row>
    <row r="25" spans="4:4" x14ac:dyDescent="0.25">
      <c r="D25" s="3" t="s">
        <v>106</v>
      </c>
    </row>
    <row r="26" spans="4:4" x14ac:dyDescent="0.25">
      <c r="D26" s="3" t="s">
        <v>107</v>
      </c>
    </row>
    <row r="27" spans="4:4" x14ac:dyDescent="0.25">
      <c r="D27" s="3" t="s">
        <v>108</v>
      </c>
    </row>
    <row r="28" spans="4:4" x14ac:dyDescent="0.25">
      <c r="D28" s="3" t="s">
        <v>109</v>
      </c>
    </row>
    <row r="29" spans="4:4" x14ac:dyDescent="0.25">
      <c r="D29" s="3" t="s">
        <v>110</v>
      </c>
    </row>
    <row r="30" spans="4:4" x14ac:dyDescent="0.25">
      <c r="D30" s="3" t="s">
        <v>111</v>
      </c>
    </row>
    <row r="31" spans="4:4" x14ac:dyDescent="0.25">
      <c r="D31" s="3" t="s">
        <v>112</v>
      </c>
    </row>
    <row r="32" spans="4:4" x14ac:dyDescent="0.25">
      <c r="D32" s="3" t="s">
        <v>113</v>
      </c>
    </row>
    <row r="33" spans="4:4" x14ac:dyDescent="0.25">
      <c r="D33" s="3" t="s">
        <v>114</v>
      </c>
    </row>
    <row r="34" spans="4:4" x14ac:dyDescent="0.25">
      <c r="D34" s="3" t="s">
        <v>115</v>
      </c>
    </row>
    <row r="35" spans="4:4" x14ac:dyDescent="0.25">
      <c r="D35" s="3" t="s">
        <v>116</v>
      </c>
    </row>
    <row r="36" spans="4:4" x14ac:dyDescent="0.25">
      <c r="D36" s="3" t="s">
        <v>117</v>
      </c>
    </row>
    <row r="37" spans="4:4" x14ac:dyDescent="0.25">
      <c r="D37" s="3" t="s">
        <v>118</v>
      </c>
    </row>
    <row r="38" spans="4:4" x14ac:dyDescent="0.25">
      <c r="D38" s="3" t="s">
        <v>119</v>
      </c>
    </row>
    <row r="39" spans="4:4" x14ac:dyDescent="0.25">
      <c r="D39" s="3" t="s">
        <v>120</v>
      </c>
    </row>
    <row r="40" spans="4:4" x14ac:dyDescent="0.25">
      <c r="D40" s="3" t="s">
        <v>121</v>
      </c>
    </row>
    <row r="41" spans="4:4" x14ac:dyDescent="0.25">
      <c r="D41" s="3" t="s">
        <v>122</v>
      </c>
    </row>
    <row r="42" spans="4:4" x14ac:dyDescent="0.25">
      <c r="D42" s="3" t="s">
        <v>123</v>
      </c>
    </row>
    <row r="43" spans="4:4" x14ac:dyDescent="0.25">
      <c r="D43" s="3" t="s">
        <v>124</v>
      </c>
    </row>
    <row r="44" spans="4:4" x14ac:dyDescent="0.25">
      <c r="D44" s="3" t="s">
        <v>125</v>
      </c>
    </row>
    <row r="45" spans="4:4" x14ac:dyDescent="0.25">
      <c r="D45" s="3" t="s">
        <v>126</v>
      </c>
    </row>
    <row r="46" spans="4:4" x14ac:dyDescent="0.25">
      <c r="D46" s="3" t="s">
        <v>127</v>
      </c>
    </row>
    <row r="47" spans="4:4" x14ac:dyDescent="0.25">
      <c r="D47" s="3" t="s">
        <v>128</v>
      </c>
    </row>
    <row r="48" spans="4:4" x14ac:dyDescent="0.25">
      <c r="D48" s="3" t="s">
        <v>129</v>
      </c>
    </row>
    <row r="49" spans="4:4" x14ac:dyDescent="0.25">
      <c r="D49" s="3" t="s">
        <v>130</v>
      </c>
    </row>
    <row r="50" spans="4:4" x14ac:dyDescent="0.25">
      <c r="D50" s="3" t="s">
        <v>131</v>
      </c>
    </row>
    <row r="51" spans="4:4" x14ac:dyDescent="0.25">
      <c r="D51" s="3" t="s">
        <v>132</v>
      </c>
    </row>
    <row r="52" spans="4:4" x14ac:dyDescent="0.25">
      <c r="D52" s="3" t="s">
        <v>133</v>
      </c>
    </row>
    <row r="53" spans="4:4" x14ac:dyDescent="0.25">
      <c r="D53" s="3" t="s">
        <v>77</v>
      </c>
    </row>
    <row r="54" spans="4:4" x14ac:dyDescent="0.25">
      <c r="D54" s="3" t="s">
        <v>134</v>
      </c>
    </row>
    <row r="55" spans="4:4" x14ac:dyDescent="0.25">
      <c r="D55" s="3" t="s">
        <v>135</v>
      </c>
    </row>
    <row r="56" spans="4:4" x14ac:dyDescent="0.25">
      <c r="D56" s="3" t="s">
        <v>136</v>
      </c>
    </row>
    <row r="57" spans="4:4" x14ac:dyDescent="0.25">
      <c r="D57" s="3" t="s">
        <v>137</v>
      </c>
    </row>
    <row r="58" spans="4:4" x14ac:dyDescent="0.25">
      <c r="D58" s="3" t="s">
        <v>138</v>
      </c>
    </row>
    <row r="59" spans="4:4" x14ac:dyDescent="0.25">
      <c r="D59" s="3" t="s">
        <v>139</v>
      </c>
    </row>
    <row r="60" spans="4:4" x14ac:dyDescent="0.25">
      <c r="D60" s="3" t="s">
        <v>140</v>
      </c>
    </row>
    <row r="61" spans="4:4" x14ac:dyDescent="0.25">
      <c r="D61" s="3" t="s">
        <v>141</v>
      </c>
    </row>
    <row r="62" spans="4:4" x14ac:dyDescent="0.25">
      <c r="D62" s="3" t="s">
        <v>142</v>
      </c>
    </row>
    <row r="63" spans="4:4" x14ac:dyDescent="0.25">
      <c r="D63" s="3" t="s">
        <v>143</v>
      </c>
    </row>
    <row r="64" spans="4:4" x14ac:dyDescent="0.25">
      <c r="D64" s="3" t="s">
        <v>144</v>
      </c>
    </row>
    <row r="65" spans="4:4" x14ac:dyDescent="0.25">
      <c r="D65" s="3" t="s">
        <v>145</v>
      </c>
    </row>
    <row r="66" spans="4:4" x14ac:dyDescent="0.25">
      <c r="D66" s="3" t="s">
        <v>146</v>
      </c>
    </row>
    <row r="67" spans="4:4" x14ac:dyDescent="0.25">
      <c r="D67" s="3" t="s">
        <v>147</v>
      </c>
    </row>
    <row r="68" spans="4:4" x14ac:dyDescent="0.25">
      <c r="D68" s="3" t="s">
        <v>148</v>
      </c>
    </row>
    <row r="69" spans="4:4" x14ac:dyDescent="0.25">
      <c r="D69" s="3" t="s">
        <v>149</v>
      </c>
    </row>
    <row r="70" spans="4:4" x14ac:dyDescent="0.25">
      <c r="D70" s="3" t="s">
        <v>150</v>
      </c>
    </row>
    <row r="71" spans="4:4" x14ac:dyDescent="0.25">
      <c r="D71" s="3" t="s">
        <v>151</v>
      </c>
    </row>
    <row r="72" spans="4:4" x14ac:dyDescent="0.25">
      <c r="D72" s="3" t="s">
        <v>152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Queries</vt:lpstr>
      <vt:lpstr>pk_check_package before</vt:lpstr>
      <vt:lpstr>Patch list</vt:lpstr>
      <vt:lpstr>DB member list</vt:lpstr>
      <vt:lpstr>TFT op.</vt:lpstr>
      <vt:lpstr>Extra-change</vt:lpstr>
      <vt:lpstr>Update conflicts</vt:lpstr>
      <vt:lpstr>Syn Conflicts</vt:lpstr>
      <vt:lpstr>DB conflicts</vt:lpstr>
      <vt:lpstr>TOS-Error</vt:lpstr>
      <vt:lpstr>pk_check_package after</vt:lpstr>
      <vt:lpstr>Build V2</vt:lpstr>
      <vt:lpstr>Build V3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2012-12-13T08:07:28Z</dcterms:created>
  <dc:creator>Thomas De Roy</dc:creator>
  <cp:lastModifiedBy>bko</cp:lastModifiedBy>
  <dcterms:modified xsi:type="dcterms:W3CDTF">2015-08-04T10:06:40Z</dcterms:modified>
</cp:coreProperties>
</file>