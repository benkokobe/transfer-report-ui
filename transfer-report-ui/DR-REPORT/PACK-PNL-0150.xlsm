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45" windowWidth="18840" windowHeight="6315" tabRatio="947" activeTab="3"/>
  </bookViews>
  <sheets>
    <sheet name="Summary" sheetId="1" r:id="rId1"/>
    <sheet name="Queries" sheetId="16" r:id="rId2"/>
    <sheet name="pk_check_package before" sheetId="3" r:id="rId3"/>
    <sheet name="Patch list" sheetId="27" r:id="rId4"/>
    <sheet name="DB member list" sheetId="28" r:id="rId5"/>
    <sheet name="TFT op." sheetId="29" r:id="rId6"/>
    <sheet name="Extra-change" sheetId="21" r:id="rId7"/>
    <sheet name="Update conflicts" sheetId="20" r:id="rId8"/>
    <sheet name="Syn Conflicts" sheetId="6" r:id="rId9"/>
    <sheet name="DB conflicts" sheetId="4" r:id="rId10"/>
    <sheet name="TOS-Error" sheetId="8" r:id="rId11"/>
    <sheet name="pk_check_package after" sheetId="26" r:id="rId12"/>
    <sheet name="Build V2" sheetId="10" r:id="rId13"/>
    <sheet name="Build V3" sheetId="11" r:id="rId14"/>
    <sheet name="myStatus" sheetId="13" r:id="rId15"/>
  </sheets>
  <externalReferences>
    <externalReference r:id="rId16"/>
  </externalReferences>
  <definedNames>
    <definedName name="_xlnm._FilterDatabase" localSheetId="12" hidden="1">'Build V2'!$A$2:$F$2</definedName>
    <definedName name="_xlnm._FilterDatabase" localSheetId="13" hidden="1">'Build V3'!$A$2:$C$20</definedName>
    <definedName name="_xlnm._FilterDatabase" localSheetId="4" hidden="1">'DB member list'!$A$1:$F$1</definedName>
    <definedName name="_xlnm._FilterDatabase" localSheetId="6" hidden="1">'Extra-change'!$A$2:$R$2</definedName>
    <definedName name="_xlnm._FilterDatabase" localSheetId="3" hidden="1">'Patch list'!$A$1:$F$1</definedName>
    <definedName name="_xlnm._FilterDatabase" localSheetId="11" hidden="1">'pk_check_package after'!$A$1:$L$60</definedName>
    <definedName name="_xlnm._FilterDatabase" localSheetId="2" hidden="1">'pk_check_package before'!$A$1:$L$60</definedName>
    <definedName name="_xlnm._FilterDatabase" localSheetId="0" hidden="1">Summary!$A$14:$F$38</definedName>
    <definedName name="_xlnm._FilterDatabase" localSheetId="8" hidden="1">'Syn Conflicts'!$A$1:$V$170</definedName>
    <definedName name="_xlnm._FilterDatabase" localSheetId="5" hidden="1">'TFT op.'!$A$1:$R$1</definedName>
    <definedName name="Z_11DA137D_FA21_4924_8652_5200ADF70677_.wvu.FilterData" localSheetId="12" hidden="1">'Build V2'!$A$2:$F$2</definedName>
    <definedName name="Z_11DA137D_FA21_4924_8652_5200ADF70677_.wvu.FilterData" localSheetId="13" hidden="1">'Build V3'!$A$2:$C$20</definedName>
    <definedName name="Z_11DA137D_FA21_4924_8652_5200ADF70677_.wvu.FilterData" localSheetId="11" hidden="1">'pk_check_package after'!$B$1:$K$127</definedName>
    <definedName name="Z_11DA137D_FA21_4924_8652_5200ADF70677_.wvu.FilterData" localSheetId="2" hidden="1">'pk_check_package before'!$B$1:$K$127</definedName>
    <definedName name="Z_11DA137D_FA21_4924_8652_5200ADF70677_.wvu.FilterData" localSheetId="0" hidden="1">Summary!$A$14:$F$14</definedName>
  </definedNames>
  <calcPr calcId="145621"/>
  <customWorkbookViews>
    <customWorkbookView name="Thomas De Roy - Personal View" guid="{11DA137D-FA21-4924-8652-5200ADF70677}" mergeInterval="0" personalView="1" maximized="1" windowWidth="1676" windowHeight="803" tabRatio="864" activeSheetId="14"/>
  </customWorkbookViews>
</workbook>
</file>

<file path=xl/calcChain.xml><?xml version="1.0" encoding="utf-8"?>
<calcChain xmlns="http://schemas.openxmlformats.org/spreadsheetml/2006/main">
  <c r="A13" i="1" l="1"/>
  <c r="C4" i="16" l="1"/>
  <c r="C3" i="16"/>
  <c r="C2" i="16"/>
  <c r="C41" i="1" l="1"/>
  <c r="C40" i="1"/>
  <c r="C38" i="1"/>
  <c r="C37" i="1"/>
  <c r="C36" i="1"/>
  <c r="C35" i="1"/>
  <c r="C34" i="1"/>
  <c r="C33" i="1"/>
  <c r="C32" i="1"/>
  <c r="C31" i="1"/>
  <c r="C30" i="1"/>
  <c r="C29" i="1"/>
  <c r="C20" i="1"/>
  <c r="C26" i="1"/>
  <c r="C25" i="1"/>
  <c r="C23" i="1"/>
  <c r="C19" i="1"/>
  <c r="C24" i="1"/>
</calcChain>
</file>

<file path=xl/comments1.xml><?xml version="1.0" encoding="utf-8"?>
<comments xmlns="http://schemas.openxmlformats.org/spreadsheetml/2006/main">
  <authors>
    <author>Thomas De Roy</author>
  </authors>
  <commentList>
    <comment ref="C15" authorId="0">
      <text>
        <r>
          <rPr>
            <b/>
            <sz val="9"/>
            <color indexed="81"/>
            <rFont val="Tahoma"/>
            <family val="2"/>
          </rPr>
          <t xml:space="preserve">
List of patches can be get by using the repport 4 in change.
SQL or CCM queries can be used to manage manually the list.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<sst xmlns="http://schemas.openxmlformats.org/spreadsheetml/2006/main" count="11710" uniqueCount="1876">
  <si>
    <t>Todo</t>
  </si>
  <si>
    <t>WIP</t>
  </si>
  <si>
    <t>Done</t>
  </si>
  <si>
    <t>Status</t>
  </si>
  <si>
    <t>cd $config/cruisecontrol/config/; grep "&lt;composite time=" *xml | sort -k2 | awk {print'$1'} | sed -e 's/config_//' -e 's/.xml://'</t>
  </si>
  <si>
    <t>Synopsis</t>
  </si>
  <si>
    <t>Steps</t>
  </si>
  <si>
    <t>Bypass</t>
  </si>
  <si>
    <t>Comments</t>
  </si>
  <si>
    <t>Issue</t>
  </si>
  <si>
    <t>Solution</t>
  </si>
  <si>
    <t>update</t>
  </si>
  <si>
    <t>clean</t>
  </si>
  <si>
    <t>plugins</t>
  </si>
  <si>
    <t>jframe</t>
  </si>
  <si>
    <t>webservices</t>
  </si>
  <si>
    <t>custom</t>
  </si>
  <si>
    <t>all</t>
  </si>
  <si>
    <t>b2c_business</t>
  </si>
  <si>
    <t>b2c_fwk</t>
  </si>
  <si>
    <t>b2c_middle</t>
  </si>
  <si>
    <t>b2n_business</t>
  </si>
  <si>
    <t>config</t>
  </si>
  <si>
    <t>b2c_web</t>
  </si>
  <si>
    <t>b2n_web</t>
  </si>
  <si>
    <t>b2o</t>
  </si>
  <si>
    <t>b2r_web</t>
  </si>
  <si>
    <t>thirdparty</t>
  </si>
  <si>
    <t>thalerng</t>
  </si>
  <si>
    <t>thalerng-nw</t>
  </si>
  <si>
    <t>jboss</t>
  </si>
  <si>
    <t>Patch</t>
  </si>
  <si>
    <t>Rule Number</t>
  </si>
  <si>
    <t>Rule Category</t>
  </si>
  <si>
    <t>Rule Short Label</t>
  </si>
  <si>
    <t>Rule Severity</t>
  </si>
  <si>
    <t>Error Description</t>
  </si>
  <si>
    <t>Action to do</t>
  </si>
  <si>
    <t>Rule Explanation</t>
  </si>
  <si>
    <t>#Operation order</t>
  </si>
  <si>
    <t>Transfer type</t>
  </si>
  <si>
    <t>Group name</t>
  </si>
  <si>
    <t>Source type</t>
  </si>
  <si>
    <t>Source name</t>
  </si>
  <si>
    <t>Action type</t>
  </si>
  <si>
    <t>Patch reference</t>
  </si>
  <si>
    <t>Patch title</t>
  </si>
  <si>
    <t>Developer</t>
  </si>
  <si>
    <t>Patch status</t>
  </si>
  <si>
    <t>Description1</t>
  </si>
  <si>
    <t>Conflict ref.</t>
  </si>
  <si>
    <t>Conflict title</t>
  </si>
  <si>
    <t>Conflict developer</t>
  </si>
  <si>
    <t>#ID</t>
  </si>
  <si>
    <t>Project</t>
  </si>
  <si>
    <t>File</t>
  </si>
  <si>
    <t>Conflict type</t>
  </si>
  <si>
    <t>Task</t>
  </si>
  <si>
    <t>Merge already done</t>
  </si>
  <si>
    <t>Patch synopsis</t>
  </si>
  <si>
    <t>Patch Owner</t>
  </si>
  <si>
    <t>Used file</t>
  </si>
  <si>
    <t>Used task</t>
  </si>
  <si>
    <t>Used Patch</t>
  </si>
  <si>
    <t>Used Patch synopsis</t>
  </si>
  <si>
    <t>Used Patch status</t>
  </si>
  <si>
    <t>Used Patch owner</t>
  </si>
  <si>
    <t>STEP</t>
  </si>
  <si>
    <t>CMD</t>
  </si>
  <si>
    <t>ERROR</t>
  </si>
  <si>
    <t>COMMENT</t>
  </si>
  <si>
    <t>Risk</t>
  </si>
  <si>
    <t>Low</t>
  </si>
  <si>
    <t>BKO</t>
  </si>
  <si>
    <t>Medium</t>
  </si>
  <si>
    <t>GER</t>
  </si>
  <si>
    <t>High</t>
  </si>
  <si>
    <t>TDR</t>
  </si>
  <si>
    <t>JFB</t>
  </si>
  <si>
    <t>JGH</t>
  </si>
  <si>
    <t>OLC</t>
  </si>
  <si>
    <t>Group</t>
  </si>
  <si>
    <t>Environment</t>
  </si>
  <si>
    <t>Summary</t>
  </si>
  <si>
    <t>ABC</t>
  </si>
  <si>
    <t>BLE</t>
  </si>
  <si>
    <t>EBC</t>
  </si>
  <si>
    <t>FF1</t>
  </si>
  <si>
    <t>FIP</t>
  </si>
  <si>
    <t>FLT</t>
  </si>
  <si>
    <t>GSE</t>
  </si>
  <si>
    <t>NBA</t>
  </si>
  <si>
    <t>NEW</t>
  </si>
  <si>
    <t>PBM</t>
  </si>
  <si>
    <t>PBN</t>
  </si>
  <si>
    <t>PBZ</t>
  </si>
  <si>
    <t>PCC</t>
  </si>
  <si>
    <t>PDE</t>
  </si>
  <si>
    <t>PDF</t>
  </si>
  <si>
    <t>PDI</t>
  </si>
  <si>
    <t>PDW</t>
  </si>
  <si>
    <t>PEC</t>
  </si>
  <si>
    <t>PF0</t>
  </si>
  <si>
    <t>PF1</t>
  </si>
  <si>
    <t>PFD</t>
  </si>
  <si>
    <t>PFR</t>
  </si>
  <si>
    <t>PGO</t>
  </si>
  <si>
    <t>PIC</t>
  </si>
  <si>
    <t>PIP</t>
  </si>
  <si>
    <t>PIR</t>
  </si>
  <si>
    <t>PIS</t>
  </si>
  <si>
    <t>PJB</t>
  </si>
  <si>
    <t>PLO</t>
  </si>
  <si>
    <t>PMB</t>
  </si>
  <si>
    <t>PMO</t>
  </si>
  <si>
    <t>PMU</t>
  </si>
  <si>
    <t>PND</t>
  </si>
  <si>
    <t>PNI</t>
  </si>
  <si>
    <t>PNS</t>
  </si>
  <si>
    <t>POC</t>
  </si>
  <si>
    <t>PP0</t>
  </si>
  <si>
    <t>PP1</t>
  </si>
  <si>
    <t>PPL</t>
  </si>
  <si>
    <t>PRB</t>
  </si>
  <si>
    <t>PSC</t>
  </si>
  <si>
    <t>PTE</t>
  </si>
  <si>
    <t>PTW</t>
  </si>
  <si>
    <t>REF</t>
  </si>
  <si>
    <t>RF0</t>
  </si>
  <si>
    <t>SBA</t>
  </si>
  <si>
    <t>TBM</t>
  </si>
  <si>
    <t>TBZ</t>
  </si>
  <si>
    <t>TDE</t>
  </si>
  <si>
    <t>TDF</t>
  </si>
  <si>
    <t>TEC</t>
  </si>
  <si>
    <t>TF0</t>
  </si>
  <si>
    <t>TF1</t>
  </si>
  <si>
    <t>TFD</t>
  </si>
  <si>
    <t>TGO</t>
  </si>
  <si>
    <t>TIC</t>
  </si>
  <si>
    <t>TIP</t>
  </si>
  <si>
    <t>TIR</t>
  </si>
  <si>
    <t>TMB</t>
  </si>
  <si>
    <t>TMO</t>
  </si>
  <si>
    <t>TMU</t>
  </si>
  <si>
    <t>TND</t>
  </si>
  <si>
    <t>TNI</t>
  </si>
  <si>
    <t>TNS</t>
  </si>
  <si>
    <t>TP1</t>
  </si>
  <si>
    <t>TPL</t>
  </si>
  <si>
    <t>TRB</t>
  </si>
  <si>
    <t>TTW</t>
  </si>
  <si>
    <t>TZT</t>
  </si>
  <si>
    <t>BD</t>
  </si>
  <si>
    <t>Comment</t>
  </si>
  <si>
    <t>From</t>
  </si>
  <si>
    <t>To</t>
  </si>
  <si>
    <t>Risks</t>
  </si>
  <si>
    <t>Due Date</t>
  </si>
  <si>
    <t>Begin</t>
  </si>
  <si>
    <t>End</t>
  </si>
  <si>
    <t>DR Name</t>
  </si>
  <si>
    <t>Starting</t>
  </si>
  <si>
    <t>Ending</t>
  </si>
  <si>
    <t>Making list of patches</t>
  </si>
  <si>
    <t>Check packaging on source environment</t>
  </si>
  <si>
    <t>Queries</t>
  </si>
  <si>
    <t>Type</t>
  </si>
  <si>
    <t>Description</t>
  </si>
  <si>
    <t>Check of extra change</t>
  </si>
  <si>
    <t>Members check by flattening</t>
  </si>
  <si>
    <t>Check Packaging on destination environment</t>
  </si>
  <si>
    <t>TYPE</t>
  </si>
  <si>
    <t>Preparation</t>
  </si>
  <si>
    <t>PACK</t>
  </si>
  <si>
    <t>SYNERGY</t>
  </si>
  <si>
    <t>CONFIG</t>
  </si>
  <si>
    <t>DB</t>
  </si>
  <si>
    <t>BUILD</t>
  </si>
  <si>
    <t>Quality Check</t>
  </si>
  <si>
    <t>Generate the TOS</t>
  </si>
  <si>
    <t xml:space="preserve"> Generate the TF packages using the Flattening</t>
  </si>
  <si>
    <t xml:space="preserve"> Perform the manual actions before the execution of the TOS</t>
  </si>
  <si>
    <t>Backup of the tables impacted by the TF operations (list_steps.csv)</t>
  </si>
  <si>
    <t>CR ID of the DR</t>
  </si>
  <si>
    <t>TOS pack</t>
  </si>
  <si>
    <t>Perform the manual actions before compilations</t>
  </si>
  <si>
    <t>Perform the manual actions after compilations/deployment</t>
  </si>
  <si>
    <t>name</t>
  </si>
  <si>
    <t>Instance</t>
  </si>
  <si>
    <t>Version in Extra</t>
  </si>
  <si>
    <t>Maintenances in Extra</t>
  </si>
  <si>
    <t>Group in Extra</t>
  </si>
  <si>
    <t>Subject in Extra</t>
  </si>
  <si>
    <t>Type in Extra</t>
  </si>
  <si>
    <t>Status in Extra</t>
  </si>
  <si>
    <t>Synopsis in Extra</t>
  </si>
  <si>
    <t>Min Version</t>
  </si>
  <si>
    <t>Max Version</t>
  </si>
  <si>
    <t>Maintenances asked</t>
  </si>
  <si>
    <t>GAL</t>
  </si>
  <si>
    <t>comment</t>
  </si>
  <si>
    <t>todo</t>
  </si>
  <si>
    <t>deploy</t>
  </si>
  <si>
    <t>ROUTINES</t>
  </si>
  <si>
    <t>TPS</t>
  </si>
  <si>
    <t>RESP</t>
  </si>
  <si>
    <t>Companies</t>
  </si>
  <si>
    <t>Concatenate_patch</t>
  </si>
  <si>
    <t>Concatenate_source</t>
  </si>
  <si>
    <t>Substep</t>
  </si>
  <si>
    <t>Batches</t>
  </si>
  <si>
    <t>List of patches</t>
  </si>
  <si>
    <t>Patch List</t>
  </si>
  <si>
    <t>List of Tft ops</t>
  </si>
  <si>
    <t>Generated tft ops</t>
  </si>
  <si>
    <t>no</t>
  </si>
  <si>
    <t>zOS dst</t>
  </si>
  <si>
    <t>zOS src</t>
  </si>
  <si>
    <t>ARGS</t>
  </si>
  <si>
    <t>IMPACTS</t>
  </si>
  <si>
    <t>ZOS</t>
  </si>
  <si>
    <t>FCLEAN</t>
  </si>
  <si>
    <t>STOP</t>
  </si>
  <si>
    <t>DIR</t>
  </si>
  <si>
    <t>NT</t>
  </si>
  <si>
    <t>GEN</t>
  </si>
  <si>
    <t>TSD</t>
  </si>
  <si>
    <t>CLEAN</t>
  </si>
  <si>
    <t>RIGHTS</t>
  </si>
  <si>
    <t>START</t>
  </si>
  <si>
    <t>SIMUL</t>
  </si>
  <si>
    <t xml:space="preserve"> Check the procedure arguments [localhost</t>
  </si>
  <si>
    <t xml:space="preserve"> Deploy the BES configuration files [SYN</t>
  </si>
  <si>
    <t xml:space="preserve"> Re-deploy the BES configuration files [SYN</t>
  </si>
  <si>
    <t xml:space="preserve"> Create the NT root directory (nt/Documentation) [</t>
  </si>
  <si>
    <t xml:space="preserve"> Deploy the BES sources [SYN</t>
  </si>
  <si>
    <t xml:space="preserve"> Adapt the scripts pk_testuser ($sub/pk_testuser)</t>
  </si>
  <si>
    <t>ALL</t>
  </si>
  <si>
    <t xml:space="preserve"> SELECTIVE</t>
  </si>
  <si>
    <t xml:space="preserve"> ZOS</t>
  </si>
  <si>
    <t xml:space="preserve"> SCRATCH</t>
  </si>
  <si>
    <t xml:space="preserve"> CLEAN</t>
  </si>
  <si>
    <t xml:space="preserve"> FULL</t>
  </si>
  <si>
    <t xml:space="preserve"> List all the simulated commands localhost</t>
  </si>
  <si>
    <t xml:space="preserve"> Generate the list of impacted members </t>
  </si>
  <si>
    <t xml:space="preserve"> Build the entire zOS BES </t>
  </si>
  <si>
    <t xml:space="preserve"> Full clean the BES configuration files '$glo' </t>
  </si>
  <si>
    <t xml:space="preserve"> Stop the Unix BES </t>
  </si>
  <si>
    <t xml:space="preserve"> Full clean the BES directories '$PKROOTDIR/$nomenv/' </t>
  </si>
  <si>
    <t xml:space="preserve"> Create Unix BES directories structure </t>
  </si>
  <si>
    <t xml:space="preserve"> Deploy the default BES sources needed to create the environment from scratch </t>
  </si>
  <si>
    <t xml:space="preserve"> Check if TSD is installed </t>
  </si>
  <si>
    <t xml:space="preserve"> Configure the BES environment ($cfg) </t>
  </si>
  <si>
    <t xml:space="preserve"> Clean the binaries (.a, .o,...) before compilation </t>
  </si>
  <si>
    <t xml:space="preserve"> Compile $srcro/acces/xml </t>
  </si>
  <si>
    <t xml:space="preserve"> Compile $srcro/acces/crypt_DAL </t>
  </si>
  <si>
    <t xml:space="preserve"> Compile $srcro/acces/secret_DAL </t>
  </si>
  <si>
    <t xml:space="preserve"> Compile $srcro/acces </t>
  </si>
  <si>
    <t xml:space="preserve"> Load the predifined .def </t>
  </si>
  <si>
    <t xml:space="preserve"> Compile the generation tools </t>
  </si>
  <si>
    <t xml:space="preserve"> Compile $srcro/acces (*.c and *.cbl) </t>
  </si>
  <si>
    <t xml:space="preserve"> Compile the last generation tools </t>
  </si>
  <si>
    <t xml:space="preserve"> Load VAD02 cache </t>
  </si>
  <si>
    <t xml:space="preserve"> Generation of the copies, maps and .def </t>
  </si>
  <si>
    <t xml:space="preserve"> Update the filedesc configuration (HDD12/HDD13) </t>
  </si>
  <si>
    <t xml:space="preserve"> Generation of the filedesc </t>
  </si>
  <si>
    <t xml:space="preserve"> Re-compile $srcro/acces/xml </t>
  </si>
  <si>
    <t xml:space="preserve"> Re-compile $srcro/acces/crypt_DAL </t>
  </si>
  <si>
    <t xml:space="preserve"> Re-Compile $srcro/acces/secret_DAL </t>
  </si>
  <si>
    <t xml:space="preserve"> Re-compile $srcro/acces </t>
  </si>
  <si>
    <t xml:space="preserve"> Generation of the sources from templates </t>
  </si>
  <si>
    <t xml:space="preserve"> Generation of AGE4 code copy </t>
  </si>
  <si>
    <t xml:space="preserve"> Generation of XML/FLAT formatting routines </t>
  </si>
  <si>
    <t xml:space="preserve"> Generation of XML/FLAT/MAQ formatting alerts for XM-8 </t>
  </si>
  <si>
    <t xml:space="preserve"> Create sub-event routines XV-1 </t>
  </si>
  <si>
    <t xml:space="preserve"> Create XV routines </t>
  </si>
  <si>
    <t xml:space="preserve"> Generation of the routines based on their model </t>
  </si>
  <si>
    <t xml:space="preserve"> Compile $srcro </t>
  </si>
  <si>
    <t xml:space="preserve"> Compile $src </t>
  </si>
  <si>
    <t xml:space="preserve"> Compile $src/cohab </t>
  </si>
  <si>
    <t xml:space="preserve"> Generation of the TPs based on their model </t>
  </si>
  <si>
    <t xml:space="preserve"> Compile $srctp </t>
  </si>
  <si>
    <t xml:space="preserve"> Compile $srcba </t>
  </si>
  <si>
    <t xml:space="preserve"> Load the TSD configuration file and start the TSD master </t>
  </si>
  <si>
    <t xml:space="preserve"> Set the appropriate BES rights (pk_set_rights) </t>
  </si>
  <si>
    <t xml:space="preserve"> Compile the containers </t>
  </si>
  <si>
    <t xml:space="preserve"> Re-start the Unix BES </t>
  </si>
  <si>
    <t xml:space="preserve"> Global compilation summary </t>
  </si>
  <si>
    <t>Synopsis here</t>
  </si>
  <si>
    <t>From here</t>
  </si>
  <si>
    <t>To here</t>
  </si>
  <si>
    <t>PACK-XXX-XXXX</t>
  </si>
  <si>
    <t>REFPAT</t>
  </si>
  <si>
    <t>STAPAT</t>
  </si>
  <si>
    <t>NOMGRP</t>
  </si>
  <si>
    <t>TYPEVL</t>
  </si>
  <si>
    <t>SUBJECT</t>
  </si>
  <si>
    <t>SYNOPSIS</t>
  </si>
  <si>
    <t>NOMMBR</t>
  </si>
  <si>
    <t>TYPMBR</t>
  </si>
  <si>
    <t>TYPACT</t>
  </si>
  <si>
    <t>REFLOT</t>
  </si>
  <si>
    <t>STPALL</t>
  </si>
  <si>
    <t>ORDOPN</t>
  </si>
  <si>
    <t>REFMAI</t>
  </si>
  <si>
    <t>NUMSTP</t>
  </si>
  <si>
    <t>NUMTFT</t>
  </si>
  <si>
    <t>TYPTFT</t>
  </si>
  <si>
    <t>TYPOPN</t>
  </si>
  <si>
    <t>SWIMAN</t>
  </si>
  <si>
    <t>VERNUM</t>
  </si>
  <si>
    <t>SWIMLT</t>
  </si>
  <si>
    <t>SWICHK</t>
  </si>
  <si>
    <t>BYPASS</t>
  </si>
  <si>
    <t>IDTENT</t>
  </si>
  <si>
    <t>ITTCMD</t>
  </si>
  <si>
    <t>STATUS</t>
  </si>
  <si>
    <t>PACK-PNL-0150</t>
  </si>
  <si>
    <t>[dr] Fake DR to generate DEV-CL-11 on PNL</t>
  </si>
  <si>
    <t>DEVPNL</t>
  </si>
  <si>
    <t>DEVTNL</t>
  </si>
  <si>
    <t>D-A517</t>
  </si>
  <si>
    <t>STAPAT-to-be-added</t>
  </si>
  <si>
    <t>JAFC</t>
  </si>
  <si>
    <t>Bug</t>
  </si>
  <si>
    <t>[patch] Common Reporting Standard : corrections</t>
  </si>
  <si>
    <t>I-AQAN</t>
  </si>
  <si>
    <t>CL</t>
  </si>
  <si>
    <t>Compliance (LEX and 3PP)</t>
  </si>
  <si>
    <t>[patch] Compliance: Common Reporting Standard: Data collection - Asset Valuation &amp; Status determination</t>
  </si>
  <si>
    <t>I-AQBE</t>
  </si>
  <si>
    <t>CC</t>
  </si>
  <si>
    <t>I-AQCE</t>
  </si>
  <si>
    <t>FC</t>
  </si>
  <si>
    <t>I-AQCL</t>
  </si>
  <si>
    <t>[patch] Compliance: Common Reporting Standard: Global status</t>
  </si>
  <si>
    <t>I-AQCW</t>
  </si>
  <si>
    <t>TX</t>
  </si>
  <si>
    <t>I-AQJ7</t>
  </si>
  <si>
    <t>[patch] Compliance: Common Reporting Standard: Data collection - Repportable accounts identification</t>
  </si>
  <si>
    <t>I-AQL3</t>
  </si>
  <si>
    <t>[patch] Compliance: Common Reporting Standard: New product creation</t>
  </si>
  <si>
    <t>I-AQRV</t>
  </si>
  <si>
    <t>I-AQS2</t>
  </si>
  <si>
    <t>TD</t>
  </si>
  <si>
    <t>I-AQSN</t>
  </si>
  <si>
    <t>JOFC</t>
  </si>
  <si>
    <t>[patch] Compliance: Common Reporting Standard: Data collection - Reportable Jurisdictions data V3</t>
  </si>
  <si>
    <t>I-AQSS</t>
  </si>
  <si>
    <t>I-AQT2</t>
  </si>
  <si>
    <t>JACL</t>
  </si>
  <si>
    <t>[patch] Compliance: Common Reporting Standard: Data collection - Client &amp; country data V3</t>
  </si>
  <si>
    <t>I-AQT3</t>
  </si>
  <si>
    <t>JOCL</t>
  </si>
  <si>
    <t>I-AQV2</t>
  </si>
  <si>
    <t>[patch] Compliance: Common Reporting Standard: Data collection - Common framework</t>
  </si>
  <si>
    <t>I-AQYQ</t>
  </si>
  <si>
    <t>[patch] Compliance: Common Reporting Standard: Data collection - Asset Valuation &amp; Status determination (part 2)</t>
  </si>
  <si>
    <t>I-AR0Y</t>
  </si>
  <si>
    <t>Rationalization</t>
  </si>
  <si>
    <t>[patch] Common Reporting Standard : Consistency checks</t>
  </si>
  <si>
    <t>I-AR1I</t>
  </si>
  <si>
    <t>I-AR1K</t>
  </si>
  <si>
    <t>I-AR1L</t>
  </si>
  <si>
    <t>I-AR1M</t>
  </si>
  <si>
    <t>DM</t>
  </si>
  <si>
    <t>I-AR1N</t>
  </si>
  <si>
    <t>I-AR3N</t>
  </si>
  <si>
    <t>I-AR4X</t>
  </si>
  <si>
    <t>I-AR5U</t>
  </si>
  <si>
    <t>I-AR7K</t>
  </si>
  <si>
    <t>I-AR7P</t>
  </si>
  <si>
    <t>I-AR7R</t>
  </si>
  <si>
    <t>I-AR8H</t>
  </si>
  <si>
    <t>I-AR8R</t>
  </si>
  <si>
    <t>Translation/Documentation</t>
  </si>
  <si>
    <t>[patch] CRS: Translations EN/NL</t>
  </si>
  <si>
    <t>I-AR8V</t>
  </si>
  <si>
    <t>FWK</t>
  </si>
  <si>
    <t>I-AR8W</t>
  </si>
  <si>
    <t>I-AR8X</t>
  </si>
  <si>
    <t>I-AR8Z</t>
  </si>
  <si>
    <t>I-AR93</t>
  </si>
  <si>
    <t>P-A727</t>
  </si>
  <si>
    <t>[patch] Compliance: Common Reporting Standard: Data collection - Reportable Juridictions part</t>
  </si>
  <si>
    <t>P-A72A</t>
  </si>
  <si>
    <t>[patch] Compliance: Common Reporting Standard: Cure of foreign tax residence indicia</t>
  </si>
  <si>
    <t>P-A72B</t>
  </si>
  <si>
    <t>JRDM</t>
  </si>
  <si>
    <t>Patch extension to other modules</t>
  </si>
  <si>
    <t>P-A72E</t>
  </si>
  <si>
    <t>JADM</t>
  </si>
  <si>
    <t>P-A72Q</t>
  </si>
  <si>
    <t>[patch] Compliance: Common Reporting Standard: Cures retrieval service</t>
  </si>
  <si>
    <t>P-A72R</t>
  </si>
  <si>
    <t>[patch] Compliance: Common Reporting Standard: Data collection - Usual versus Wider approach</t>
  </si>
  <si>
    <t>P-A72U</t>
  </si>
  <si>
    <t>[patch] Compliance: Common Reporting Standard: Data collection - Client&amp;country data</t>
  </si>
  <si>
    <t>P-A732</t>
  </si>
  <si>
    <t>[patch] Compliance: Common Reporting Standard: Data collection - Foreign tax residence indicia check</t>
  </si>
  <si>
    <t>P-A735</t>
  </si>
  <si>
    <t>P-A78K</t>
  </si>
  <si>
    <t>[patch] Common Reporting Standard : Data collection common parts to FATCA/CRS/VIA</t>
  </si>
  <si>
    <t>P-A78Q</t>
  </si>
  <si>
    <t>[patch] Compliance: Common Reporting Standard: Data collection (part 2)</t>
  </si>
  <si>
    <t>FCLBC</t>
  </si>
  <si>
    <t>JE</t>
  </si>
  <si>
    <t>2</t>
  </si>
  <si>
    <t>013/CQZ30002</t>
  </si>
  <si>
    <t>11</t>
  </si>
  <si>
    <t>1</t>
  </si>
  <si>
    <t>05/CQR3R</t>
  </si>
  <si>
    <t>19</t>
  </si>
  <si>
    <t>07/CQZ3</t>
  </si>
  <si>
    <t>0J/M-CQR3R</t>
  </si>
  <si>
    <t>CLC3</t>
  </si>
  <si>
    <t>0X</t>
  </si>
  <si>
    <t>CLC3/0000000000000010</t>
  </si>
  <si>
    <t>0Y</t>
  </si>
  <si>
    <t>CLC3/000000000000001A</t>
  </si>
  <si>
    <t>CLC3/000000000000001E</t>
  </si>
  <si>
    <t>CLC3/000000000000001F</t>
  </si>
  <si>
    <t>CLC3/000000000000001G</t>
  </si>
  <si>
    <t>CLC3/000000000000001S</t>
  </si>
  <si>
    <t>CLC3/000000000000001U</t>
  </si>
  <si>
    <t>CLC3/000000000000001W</t>
  </si>
  <si>
    <t>CLC3/000000000000001X</t>
  </si>
  <si>
    <t>CLC3/000000000000001Y</t>
  </si>
  <si>
    <t>CLC6</t>
  </si>
  <si>
    <t>CLC6/0000000000000014</t>
  </si>
  <si>
    <t>CLC6/0000000000000016</t>
  </si>
  <si>
    <t>CLC6/0000000000000017</t>
  </si>
  <si>
    <t>CLC6/0000000000000018</t>
  </si>
  <si>
    <t>CLC6/0000000000000019</t>
  </si>
  <si>
    <t>CLC6/000000000000001A</t>
  </si>
  <si>
    <t>CLC6/000000000000001B</t>
  </si>
  <si>
    <t>CLC6/000000000000001C</t>
  </si>
  <si>
    <t>CLC6/000000000000001D</t>
  </si>
  <si>
    <t>CLC6/000000000000001E</t>
  </si>
  <si>
    <t>CLC6/000000000000001F</t>
  </si>
  <si>
    <t>CLC6/000000000000001G</t>
  </si>
  <si>
    <t>CLC6/000000000000001H</t>
  </si>
  <si>
    <t>CLC6/000000000000001I</t>
  </si>
  <si>
    <t>CLC6/000000000000001J</t>
  </si>
  <si>
    <t>CLC6/000000000000001K</t>
  </si>
  <si>
    <t>CLC6/000000000000001L</t>
  </si>
  <si>
    <t>CLC6/000000000000001M</t>
  </si>
  <si>
    <t>CLC7</t>
  </si>
  <si>
    <t>CLC7/0000000000000006</t>
  </si>
  <si>
    <t>CLC7/0000000000000007</t>
  </si>
  <si>
    <t>CLC7/0000000000000008</t>
  </si>
  <si>
    <t>CLC7/0000000000000009</t>
  </si>
  <si>
    <t>CLC7/000000000000000A</t>
  </si>
  <si>
    <t>CLC8</t>
  </si>
  <si>
    <t>CLC8/0000000000000009</t>
  </si>
  <si>
    <t>CLC8/000000000000000A</t>
  </si>
  <si>
    <t>CLC8/000000000000000B</t>
  </si>
  <si>
    <t>CLC8/000000000000000C</t>
  </si>
  <si>
    <t>CLC8/000000000000000D</t>
  </si>
  <si>
    <t>CLC9</t>
  </si>
  <si>
    <t>CLC9/0000000000000001</t>
  </si>
  <si>
    <t>CLCB</t>
  </si>
  <si>
    <t>CLCB/0000000000000001</t>
  </si>
  <si>
    <t>CLQ75</t>
  </si>
  <si>
    <t>01</t>
  </si>
  <si>
    <t>CLW16</t>
  </si>
  <si>
    <t>CLW17</t>
  </si>
  <si>
    <t>CLXXV</t>
  </si>
  <si>
    <t>03</t>
  </si>
  <si>
    <t>CLXXV.cbl</t>
  </si>
  <si>
    <t>0D</t>
  </si>
  <si>
    <t>CQR30001</t>
  </si>
  <si>
    <t>12</t>
  </si>
  <si>
    <t>CQR30002</t>
  </si>
  <si>
    <t>CQR30003</t>
  </si>
  <si>
    <t>CQR30004</t>
  </si>
  <si>
    <t>CQR30005</t>
  </si>
  <si>
    <t>CQR30006</t>
  </si>
  <si>
    <t>CQR30007</t>
  </si>
  <si>
    <t>CQR30008</t>
  </si>
  <si>
    <t>CQR30009</t>
  </si>
  <si>
    <t>CQR30010</t>
  </si>
  <si>
    <t>CQR30011</t>
  </si>
  <si>
    <t>CQR30012</t>
  </si>
  <si>
    <t>CQR30013</t>
  </si>
  <si>
    <t>CQR3C</t>
  </si>
  <si>
    <t>02</t>
  </si>
  <si>
    <t>CQR3R</t>
  </si>
  <si>
    <t>05</t>
  </si>
  <si>
    <t>CQZ3</t>
  </si>
  <si>
    <t>07</t>
  </si>
  <si>
    <t>16</t>
  </si>
  <si>
    <t>CQZ301</t>
  </si>
  <si>
    <t>04</t>
  </si>
  <si>
    <t>CR6</t>
  </si>
  <si>
    <t>10</t>
  </si>
  <si>
    <t>CR6/00</t>
  </si>
  <si>
    <t>CR6/01</t>
  </si>
  <si>
    <t>CR6/02</t>
  </si>
  <si>
    <t>CR6/03</t>
  </si>
  <si>
    <t>CR9</t>
  </si>
  <si>
    <t>CRA</t>
  </si>
  <si>
    <t>CRA/00</t>
  </si>
  <si>
    <t>M-CQR3R</t>
  </si>
  <si>
    <t>0J</t>
  </si>
  <si>
    <t>pk-cl-02-98.doc</t>
  </si>
  <si>
    <t>0C</t>
  </si>
  <si>
    <t>pk-cl-02-99.doc</t>
  </si>
  <si>
    <t>pk-cl-03.doc</t>
  </si>
  <si>
    <t>013/CQZ30001</t>
  </si>
  <si>
    <t>046/1-CCE9</t>
  </si>
  <si>
    <t>045/CCE9</t>
  </si>
  <si>
    <t>08/CCP008</t>
  </si>
  <si>
    <t>0J/M-CCE9R</t>
  </si>
  <si>
    <t>B08/CCE9</t>
  </si>
  <si>
    <t>CCCRSINV</t>
  </si>
  <si>
    <t>15</t>
  </si>
  <si>
    <t>CCCRSINV.doc</t>
  </si>
  <si>
    <t>CCE9</t>
  </si>
  <si>
    <t>CCE90001</t>
  </si>
  <si>
    <t>CCE90002</t>
  </si>
  <si>
    <t>CCE90003</t>
  </si>
  <si>
    <t>CCE90004</t>
  </si>
  <si>
    <t>CCE90005</t>
  </si>
  <si>
    <t>CCE90006</t>
  </si>
  <si>
    <t>CCE90007</t>
  </si>
  <si>
    <t>CCE90008</t>
  </si>
  <si>
    <t>CCE90009</t>
  </si>
  <si>
    <t>CCE90010</t>
  </si>
  <si>
    <t>CCE90011</t>
  </si>
  <si>
    <t>CCE90012</t>
  </si>
  <si>
    <t>CCE9C</t>
  </si>
  <si>
    <t>CCE9R</t>
  </si>
  <si>
    <t>06</t>
  </si>
  <si>
    <t>CCP008</t>
  </si>
  <si>
    <t>08</t>
  </si>
  <si>
    <t>CCP00801</t>
  </si>
  <si>
    <t>CCP00802</t>
  </si>
  <si>
    <t>CCP00803</t>
  </si>
  <si>
    <t>CCP00804</t>
  </si>
  <si>
    <t>CCP00805</t>
  </si>
  <si>
    <t>CCP00806</t>
  </si>
  <si>
    <t>CCP00807</t>
  </si>
  <si>
    <t>CCP00808</t>
  </si>
  <si>
    <t>CCP00809</t>
  </si>
  <si>
    <t>CCP00810</t>
  </si>
  <si>
    <t>CCP00811</t>
  </si>
  <si>
    <t>CCP00812</t>
  </si>
  <si>
    <t>CCP00813</t>
  </si>
  <si>
    <t>CCP00814</t>
  </si>
  <si>
    <t>CCP00815</t>
  </si>
  <si>
    <t>CCP008C</t>
  </si>
  <si>
    <t>CCW16</t>
  </si>
  <si>
    <t>M-CCE9R</t>
  </si>
  <si>
    <t>pk-cc-02-98.doc</t>
  </si>
  <si>
    <t>pk-cc-02-99.doc</t>
  </si>
  <si>
    <t>pk-cc-03.doc</t>
  </si>
  <si>
    <t>06/CCE9R</t>
  </si>
  <si>
    <t>FCRHR</t>
  </si>
  <si>
    <t>427/83</t>
  </si>
  <si>
    <t>CLA1</t>
  </si>
  <si>
    <t>X77/00</t>
  </si>
  <si>
    <t>X77</t>
  </si>
  <si>
    <t>X07/02</t>
  </si>
  <si>
    <t>X07/01</t>
  </si>
  <si>
    <t>013/CLX10103</t>
  </si>
  <si>
    <t>X77/01</t>
  </si>
  <si>
    <t>CLRIR</t>
  </si>
  <si>
    <t>X06/38</t>
  </si>
  <si>
    <t>X07</t>
  </si>
  <si>
    <t>M-TXR1R</t>
  </si>
  <si>
    <t>TXAB</t>
  </si>
  <si>
    <t>TXR1R</t>
  </si>
  <si>
    <t>TXMB</t>
  </si>
  <si>
    <t>TXCB</t>
  </si>
  <si>
    <t>CLTR0903</t>
  </si>
  <si>
    <t>CLTR0904</t>
  </si>
  <si>
    <t>CLTR0905</t>
  </si>
  <si>
    <t>CLTR0906</t>
  </si>
  <si>
    <t>CLTR0907</t>
  </si>
  <si>
    <t>CLTR0908</t>
  </si>
  <si>
    <t>013/CLE90001</t>
  </si>
  <si>
    <t>013/CLE90002</t>
  </si>
  <si>
    <t>013/CLE90003</t>
  </si>
  <si>
    <t>013/CLE90004</t>
  </si>
  <si>
    <t>013/CLE90005</t>
  </si>
  <si>
    <t>013/CLE90006</t>
  </si>
  <si>
    <t>013/CLE90007</t>
  </si>
  <si>
    <t>013/CLE90008</t>
  </si>
  <si>
    <t>014/CLL0W1</t>
  </si>
  <si>
    <t>045/CLE9</t>
  </si>
  <si>
    <t>CLTR0909</t>
  </si>
  <si>
    <t>CLTR0910</t>
  </si>
  <si>
    <t>CLTR09C</t>
  </si>
  <si>
    <t>CLW15</t>
  </si>
  <si>
    <t>M-CLTR09</t>
  </si>
  <si>
    <t>046/1-CLE9</t>
  </si>
  <si>
    <t>06/CLE9R</t>
  </si>
  <si>
    <t>08/CLP007</t>
  </si>
  <si>
    <t>08/CLT015</t>
  </si>
  <si>
    <t>08/CLTR09</t>
  </si>
  <si>
    <t>0J/M-CLTR09</t>
  </si>
  <si>
    <t>767/CLL0WC1</t>
  </si>
  <si>
    <t>B08/CLE9</t>
  </si>
  <si>
    <t>1C</t>
  </si>
  <si>
    <t>CLCRSCHK</t>
  </si>
  <si>
    <t>CLCRSCHK.doc</t>
  </si>
  <si>
    <t>CLE9</t>
  </si>
  <si>
    <t>CLE90001</t>
  </si>
  <si>
    <t>CLE90002</t>
  </si>
  <si>
    <t>CLE90003</t>
  </si>
  <si>
    <t>CLE90004</t>
  </si>
  <si>
    <t>CLE90005</t>
  </si>
  <si>
    <t>CLE90006</t>
  </si>
  <si>
    <t>CLE90007</t>
  </si>
  <si>
    <t>CLE90008</t>
  </si>
  <si>
    <t>CLE9C</t>
  </si>
  <si>
    <t>CLE9R</t>
  </si>
  <si>
    <t>CLL0W</t>
  </si>
  <si>
    <t>CLL0W1</t>
  </si>
  <si>
    <t>1B</t>
  </si>
  <si>
    <t>CLL0WC</t>
  </si>
  <si>
    <t>0R</t>
  </si>
  <si>
    <t>CLP007</t>
  </si>
  <si>
    <t>CLP00701</t>
  </si>
  <si>
    <t>CLP00702</t>
  </si>
  <si>
    <t>CLP00703</t>
  </si>
  <si>
    <t>CLP00704</t>
  </si>
  <si>
    <t>CLP00705</t>
  </si>
  <si>
    <t>CLP00706</t>
  </si>
  <si>
    <t>CLP00707</t>
  </si>
  <si>
    <t>CLP00708</t>
  </si>
  <si>
    <t>CLP00709</t>
  </si>
  <si>
    <t>CLP00710</t>
  </si>
  <si>
    <t>CLP007C</t>
  </si>
  <si>
    <t>CLREP009</t>
  </si>
  <si>
    <t>CLREP009.doc</t>
  </si>
  <si>
    <t>CLT015</t>
  </si>
  <si>
    <t>CLT01501</t>
  </si>
  <si>
    <t>CLT01502</t>
  </si>
  <si>
    <t>CLT01503</t>
  </si>
  <si>
    <t>CLT01504</t>
  </si>
  <si>
    <t>CLT01505</t>
  </si>
  <si>
    <t>CLT01506</t>
  </si>
  <si>
    <t>CLT01507</t>
  </si>
  <si>
    <t>CLT01508</t>
  </si>
  <si>
    <t>CLT01509</t>
  </si>
  <si>
    <t>CLT01510</t>
  </si>
  <si>
    <t>CLT01511</t>
  </si>
  <si>
    <t>CLT015C</t>
  </si>
  <si>
    <t>CLTR09</t>
  </si>
  <si>
    <t>CLTR0901</t>
  </si>
  <si>
    <t>CLTR0902</t>
  </si>
  <si>
    <t>CLC1</t>
  </si>
  <si>
    <t>FM2</t>
  </si>
  <si>
    <t>CLC1/0000000000000005</t>
  </si>
  <si>
    <t>CLC1/0000000000000006</t>
  </si>
  <si>
    <t>CLC1/0000000000000007</t>
  </si>
  <si>
    <t>CLC1/0000000000000008</t>
  </si>
  <si>
    <t>CLC1/0000000000000009</t>
  </si>
  <si>
    <t>CLC1/000000000000000A</t>
  </si>
  <si>
    <t>CLRH0009</t>
  </si>
  <si>
    <t>CLRH0011</t>
  </si>
  <si>
    <t>CLRHC</t>
  </si>
  <si>
    <t>CLRHR</t>
  </si>
  <si>
    <t>CLXX00AD</t>
  </si>
  <si>
    <t>CLXX00AE</t>
  </si>
  <si>
    <t>CLXX00AF</t>
  </si>
  <si>
    <t>CLC1/0000000000000001</t>
  </si>
  <si>
    <t>CCA1</t>
  </si>
  <si>
    <t>CCM1</t>
  </si>
  <si>
    <t>CCD1</t>
  </si>
  <si>
    <t>CCC1</t>
  </si>
  <si>
    <t>TDA1</t>
  </si>
  <si>
    <t>J54/FCOU0B</t>
  </si>
  <si>
    <t>J2</t>
  </si>
  <si>
    <t>J54/FCOD0B</t>
  </si>
  <si>
    <t>J54/FCOC0B</t>
  </si>
  <si>
    <t>FCOU0B</t>
  </si>
  <si>
    <t>JO</t>
  </si>
  <si>
    <t>FCOR0B</t>
  </si>
  <si>
    <t>FCOL0B/FCOU0B/01/*N*************</t>
  </si>
  <si>
    <t>JP</t>
  </si>
  <si>
    <t>FCOL0B/FCOR0B/01/***************</t>
  </si>
  <si>
    <t>FCOL0B/FCOD0B/01/*N*************</t>
  </si>
  <si>
    <t>FCOL0B/FCOC0B/01/***************</t>
  </si>
  <si>
    <t>FCOL0B</t>
  </si>
  <si>
    <t>FCOD0B</t>
  </si>
  <si>
    <t>FCOC0B</t>
  </si>
  <si>
    <t>J54/FCOR0B</t>
  </si>
  <si>
    <t>J54/FCOL0B</t>
  </si>
  <si>
    <t>FCXBC</t>
  </si>
  <si>
    <t>FFCD09-01</t>
  </si>
  <si>
    <t>J51/FCCBR</t>
  </si>
  <si>
    <t>J51/FCDBR</t>
  </si>
  <si>
    <t>J51/FCGBR</t>
  </si>
  <si>
    <t>J51/FCLBR</t>
  </si>
  <si>
    <t>J51/FCUBR</t>
  </si>
  <si>
    <t>ListCountryAdditionalDataIn</t>
  </si>
  <si>
    <t>J4</t>
  </si>
  <si>
    <t>ListCountryAdditionalDataOut</t>
  </si>
  <si>
    <t>ListCountryAdditionalDataOutResultList</t>
  </si>
  <si>
    <t>RetrieveCountryAdditionalDataIn</t>
  </si>
  <si>
    <t>RetrieveCountryAdditionalDataOut</t>
  </si>
  <si>
    <t>UpdateCountryAdditionalDataIn</t>
  </si>
  <si>
    <t>UpdateCountryAdditionalDataOut</t>
  </si>
  <si>
    <t>CreateCountryAdditionalDataOut</t>
  </si>
  <si>
    <t>CreateCountryAdditionalDataIn</t>
  </si>
  <si>
    <t>CountryAdditionalDataService/validateUpdateCountryAdditionalData</t>
  </si>
  <si>
    <t>J3</t>
  </si>
  <si>
    <t>CountryAdditionalDataService/validateToCreateCountryAdditionalData</t>
  </si>
  <si>
    <t>CountryAdditionalDataService/validateCreateCountryAdditionalData</t>
  </si>
  <si>
    <t>CountryAdditionalDataService/validateCancelCountryAdditionalData</t>
  </si>
  <si>
    <t>CountryAdditionalDataService/updateCountryAdditionalData</t>
  </si>
  <si>
    <t>CountryAdditionalDataService/retrieveToUpdateCountryAdditionalData</t>
  </si>
  <si>
    <t>CountryAdditionalDataService/retrieveToCancelCountryAdditionalData</t>
  </si>
  <si>
    <t>CountryAdditionalDataService/retrieveCountryAdditionalData</t>
  </si>
  <si>
    <t>CountryAdditionalDataService/listCountryAdditionalData</t>
  </si>
  <si>
    <t>CountryAdditionalDataService/createCountryAdditionalData</t>
  </si>
  <si>
    <t>CountryAdditionalDataService/cancelCountryAdditionalData</t>
  </si>
  <si>
    <t>CountryAdditionalDataService</t>
  </si>
  <si>
    <t>J1</t>
  </si>
  <si>
    <t>CancelCountryAdditionalDataIn</t>
  </si>
  <si>
    <t>CancelCountryAdditionalDataOut</t>
  </si>
  <si>
    <t>ClientCRSDataService/retrieveClientCRSDataWithCure</t>
  </si>
  <si>
    <t>ClientCRSDataService/retrieveClientCRSData</t>
  </si>
  <si>
    <t>ClientCRSDataService/retrieveToUpdateClientCRSData</t>
  </si>
  <si>
    <t>ClientCRSDataService/updateClientCRSData</t>
  </si>
  <si>
    <t>ClientCRSDataService/validateCreateClientCRSData</t>
  </si>
  <si>
    <t>ClientCRSDataService/validateToCreateClientCRSData</t>
  </si>
  <si>
    <t>ClientCRSDataService/validateUpdateClientCRSData</t>
  </si>
  <si>
    <t>CreateClientCRSDataIn</t>
  </si>
  <si>
    <t>CreateClientCRSDataOut</t>
  </si>
  <si>
    <t>FCLD75-01</t>
  </si>
  <si>
    <t>J51/CLLFR</t>
  </si>
  <si>
    <t>J51/CQC1R</t>
  </si>
  <si>
    <t>J51/CQD1R</t>
  </si>
  <si>
    <t>J51/CQG1R</t>
  </si>
  <si>
    <t>J51/CQU1R</t>
  </si>
  <si>
    <t>ListClientCRSDataIn</t>
  </si>
  <si>
    <t>ListClientCRSDataOut</t>
  </si>
  <si>
    <t>ListClientCRSDataOutResultList</t>
  </si>
  <si>
    <t>RetrieveClientCRSDataIn</t>
  </si>
  <si>
    <t>RetrieveClientCRSDataOut</t>
  </si>
  <si>
    <t>RetrieveClientCRSDataOutCountryAndCureData</t>
  </si>
  <si>
    <t>UpdateClientCRSDataIn</t>
  </si>
  <si>
    <t>UpdateClientCRSDataOut</t>
  </si>
  <si>
    <t>ClientCRSDataService/retrieveToCancelClientCRSData</t>
  </si>
  <si>
    <t>ClientCRSDataService/partialValidateUpdateClientCRSData</t>
  </si>
  <si>
    <t>ClientCRSDataService/partialValidateCreateClientCRSData</t>
  </si>
  <si>
    <t>ClientCRSDataService/listClientCRSData</t>
  </si>
  <si>
    <t>ClientCRSDataService/createClientCRSData</t>
  </si>
  <si>
    <t>ClientCRSDataService/cancelClientCRSData</t>
  </si>
  <si>
    <t>ClientCRSDataService</t>
  </si>
  <si>
    <t>CancelClientCRSDataOut</t>
  </si>
  <si>
    <t>CancelClientCRSDataIn</t>
  </si>
  <si>
    <t>CQX1C</t>
  </si>
  <si>
    <t>CLLFC</t>
  </si>
  <si>
    <t>J54/CLOC0F</t>
  </si>
  <si>
    <t>CLOC0F</t>
  </si>
  <si>
    <t>J54/CLOL0F</t>
  </si>
  <si>
    <t>J54/CLOR0F</t>
  </si>
  <si>
    <t>J54/CLOU0F</t>
  </si>
  <si>
    <t>CLOU0F</t>
  </si>
  <si>
    <t>CLOR0F</t>
  </si>
  <si>
    <t>CLOL0F/CLOU0F/01/*N*************</t>
  </si>
  <si>
    <t>CLOL0F/CLOR0F/01/***************</t>
  </si>
  <si>
    <t>CLOL0F/CLOD0F/01/*N*************</t>
  </si>
  <si>
    <t>CLOL0F/CLOC0F/01/***************</t>
  </si>
  <si>
    <t>CLOL0F</t>
  </si>
  <si>
    <t>CLOL01/CLOL0F/01/***************</t>
  </si>
  <si>
    <t>CLOD0F</t>
  </si>
  <si>
    <t>CLOC0F/CLOC0F/startDate/value/000100S00S00000000000/20150101</t>
  </si>
  <si>
    <t>JD</t>
  </si>
  <si>
    <t>J54/CLOD0F</t>
  </si>
  <si>
    <t>013/TXX10019</t>
  </si>
  <si>
    <t>144/TXCRS</t>
  </si>
  <si>
    <t>518/TXRG</t>
  </si>
  <si>
    <t>702/TXRG</t>
  </si>
  <si>
    <t>940/20</t>
  </si>
  <si>
    <t>X57/02</t>
  </si>
  <si>
    <t>X10/CRS001</t>
  </si>
  <si>
    <t>X10/FATCA1</t>
  </si>
  <si>
    <t>X57</t>
  </si>
  <si>
    <t>X57/01</t>
  </si>
  <si>
    <t>C0H/CRS001</t>
  </si>
  <si>
    <t>CLP00805</t>
  </si>
  <si>
    <t>CLP00806</t>
  </si>
  <si>
    <t>CLP00807</t>
  </si>
  <si>
    <t>CLP00808</t>
  </si>
  <si>
    <t>CLP00809</t>
  </si>
  <si>
    <t>CLP00810</t>
  </si>
  <si>
    <t>CLP00811</t>
  </si>
  <si>
    <t>CLP00812</t>
  </si>
  <si>
    <t>CLP00813</t>
  </si>
  <si>
    <t>CLP00814</t>
  </si>
  <si>
    <t>CLP00815</t>
  </si>
  <si>
    <t>CLP00816</t>
  </si>
  <si>
    <t>CLP00817</t>
  </si>
  <si>
    <t>CLP00818</t>
  </si>
  <si>
    <t>CLP008C</t>
  </si>
  <si>
    <t>M-CLE8R</t>
  </si>
  <si>
    <t>014/CLL0X1</t>
  </si>
  <si>
    <t>045/CLE8</t>
  </si>
  <si>
    <t>046/1-CLE8</t>
  </si>
  <si>
    <t>06/CLE8R</t>
  </si>
  <si>
    <t>08/CLP008</t>
  </si>
  <si>
    <t>0J/M-CLE8R</t>
  </si>
  <si>
    <t>767/CLL0XC1</t>
  </si>
  <si>
    <t>B08/CLE8</t>
  </si>
  <si>
    <t>CLCRSINV</t>
  </si>
  <si>
    <t>CLCRSINV.doc</t>
  </si>
  <si>
    <t>CLE8</t>
  </si>
  <si>
    <t>CLE80001</t>
  </si>
  <si>
    <t>CLE80002</t>
  </si>
  <si>
    <t>CLE80003</t>
  </si>
  <si>
    <t>CLE80004</t>
  </si>
  <si>
    <t>CLE80005</t>
  </si>
  <si>
    <t>CLE80006</t>
  </si>
  <si>
    <t>CLE80007</t>
  </si>
  <si>
    <t>CLE80008</t>
  </si>
  <si>
    <t>CLE80009</t>
  </si>
  <si>
    <t>CLE80010</t>
  </si>
  <si>
    <t>CLE80011</t>
  </si>
  <si>
    <t>CLE8C</t>
  </si>
  <si>
    <t>CLE8R</t>
  </si>
  <si>
    <t>CLL0X</t>
  </si>
  <si>
    <t>CLL0X1</t>
  </si>
  <si>
    <t>CLL0XC</t>
  </si>
  <si>
    <t>CLP008</t>
  </si>
  <si>
    <t>CLP00801</t>
  </si>
  <si>
    <t>CLP00802</t>
  </si>
  <si>
    <t>CLP00803</t>
  </si>
  <si>
    <t>CLP00804</t>
  </si>
  <si>
    <t>CLMF</t>
  </si>
  <si>
    <t>CLREC</t>
  </si>
  <si>
    <t>CLSF</t>
  </si>
  <si>
    <t>CQC1R</t>
  </si>
  <si>
    <t>3</t>
  </si>
  <si>
    <t>CQD1R</t>
  </si>
  <si>
    <t>CQG1R</t>
  </si>
  <si>
    <t>CQR20006</t>
  </si>
  <si>
    <t>CQR2C</t>
  </si>
  <si>
    <t>CQR2R</t>
  </si>
  <si>
    <t>CR4/11</t>
  </si>
  <si>
    <t>CR4/12</t>
  </si>
  <si>
    <t>CR4/13</t>
  </si>
  <si>
    <t>CR4/14</t>
  </si>
  <si>
    <t>CR4/17</t>
  </si>
  <si>
    <t>CR4/18</t>
  </si>
  <si>
    <t>CR4/98</t>
  </si>
  <si>
    <t>CR5</t>
  </si>
  <si>
    <t>CRM</t>
  </si>
  <si>
    <t>TS-CLLFC</t>
  </si>
  <si>
    <t>CQU1R</t>
  </si>
  <si>
    <t>CQZ2</t>
  </si>
  <si>
    <t>CR1</t>
  </si>
  <si>
    <t>CR3</t>
  </si>
  <si>
    <t>CR4</t>
  </si>
  <si>
    <t>CR4/10</t>
  </si>
  <si>
    <t>013/CLSF0001</t>
  </si>
  <si>
    <t>013/CLSF0002</t>
  </si>
  <si>
    <t>013/CLSF0003</t>
  </si>
  <si>
    <t>013/CLSF0004</t>
  </si>
  <si>
    <t>013/CLSF0005</t>
  </si>
  <si>
    <t>013/CLSF0006</t>
  </si>
  <si>
    <t>013/CLSF0007</t>
  </si>
  <si>
    <t>013/CLSF0008</t>
  </si>
  <si>
    <t>05/CLLFR</t>
  </si>
  <si>
    <t>05/CLRER</t>
  </si>
  <si>
    <t>05/CLRHR</t>
  </si>
  <si>
    <t>05/CQC1R</t>
  </si>
  <si>
    <t>05/CQD1R</t>
  </si>
  <si>
    <t>05/CQG1R</t>
  </si>
  <si>
    <t>05/CQR2R</t>
  </si>
  <si>
    <t>05/CQU1R</t>
  </si>
  <si>
    <t>07/CLAF</t>
  </si>
  <si>
    <t>07/CLCF</t>
  </si>
  <si>
    <t>07/CLDF</t>
  </si>
  <si>
    <t>07/CLMF</t>
  </si>
  <si>
    <t>07/CLSF</t>
  </si>
  <si>
    <t>07/CQZ2</t>
  </si>
  <si>
    <t>0J/M-CLRER</t>
  </si>
  <si>
    <t>0J/M-CQR2R</t>
  </si>
  <si>
    <t>999/CLS101CLSF</t>
  </si>
  <si>
    <t>CLAF</t>
  </si>
  <si>
    <t>CLCF</t>
  </si>
  <si>
    <t>CLD75</t>
  </si>
  <si>
    <t>CLDF</t>
  </si>
  <si>
    <t>CLLFR</t>
  </si>
  <si>
    <t>CQX10022</t>
  </si>
  <si>
    <t>CLCB/0000000000000002</t>
  </si>
  <si>
    <t>CLCB/0000000000000003</t>
  </si>
  <si>
    <t>CLCB/0000000000000004</t>
  </si>
  <si>
    <t>CLCB/0000000000000005</t>
  </si>
  <si>
    <t>CLCB/0000000000000006</t>
  </si>
  <si>
    <t>CLCB/0000000000000007</t>
  </si>
  <si>
    <t>CLM1</t>
  </si>
  <si>
    <t>CLRE0011</t>
  </si>
  <si>
    <t>CLRER</t>
  </si>
  <si>
    <t>CLSF01</t>
  </si>
  <si>
    <t>CLSF01.CTV</t>
  </si>
  <si>
    <t>CLXF01</t>
  </si>
  <si>
    <t>CLXF02</t>
  </si>
  <si>
    <t>CLXF03</t>
  </si>
  <si>
    <t>CLXF04</t>
  </si>
  <si>
    <t>CRM/43</t>
  </si>
  <si>
    <t>CRM/44</t>
  </si>
  <si>
    <t>XXCL</t>
  </si>
  <si>
    <t>0E</t>
  </si>
  <si>
    <t>536/CL-17</t>
  </si>
  <si>
    <t>CLC4</t>
  </si>
  <si>
    <t>CLC5</t>
  </si>
  <si>
    <t>013/FCSB0001</t>
  </si>
  <si>
    <t>pk-fc-02-99.doc</t>
  </si>
  <si>
    <t>013/FCSB0003</t>
  </si>
  <si>
    <t>013/FCSB0004</t>
  </si>
  <si>
    <t>013/FCSB0005</t>
  </si>
  <si>
    <t>05/FCCBR</t>
  </si>
  <si>
    <t>05/FCDBR</t>
  </si>
  <si>
    <t>05/FCGBR</t>
  </si>
  <si>
    <t>05/FCLBR</t>
  </si>
  <si>
    <t>05/FCUBR</t>
  </si>
  <si>
    <t>05/FER8R</t>
  </si>
  <si>
    <t>07/FCAB</t>
  </si>
  <si>
    <t>07/FCCB</t>
  </si>
  <si>
    <t>07/FCDB</t>
  </si>
  <si>
    <t>07/FCMB</t>
  </si>
  <si>
    <t>07/FCSB</t>
  </si>
  <si>
    <t>07/FCZE</t>
  </si>
  <si>
    <t>07/FEZ8</t>
  </si>
  <si>
    <t>CH-FCSBC</t>
  </si>
  <si>
    <t>FCAB</t>
  </si>
  <si>
    <t>FCCB</t>
  </si>
  <si>
    <t>FCCBR</t>
  </si>
  <si>
    <t>FCD09</t>
  </si>
  <si>
    <t>FCDB</t>
  </si>
  <si>
    <t>FCDBR</t>
  </si>
  <si>
    <t>FCGBR</t>
  </si>
  <si>
    <t>FCLBR</t>
  </si>
  <si>
    <t>FCMB</t>
  </si>
  <si>
    <t>FCUBR</t>
  </si>
  <si>
    <t>FCXB0008</t>
  </si>
  <si>
    <t>FCZE</t>
  </si>
  <si>
    <t>FER8C</t>
  </si>
  <si>
    <t>TS-FCXBC</t>
  </si>
  <si>
    <t>pk-fc-02-98.doc</t>
  </si>
  <si>
    <t>013/FCSB0002</t>
  </si>
  <si>
    <t>DMA/AR-01</t>
  </si>
  <si>
    <t>DMA/BB-01</t>
  </si>
  <si>
    <t>DMA/CR-01</t>
  </si>
  <si>
    <t>DMA/EC-01</t>
  </si>
  <si>
    <t>DMA/GR-01</t>
  </si>
  <si>
    <t>DMA/HK-01</t>
  </si>
  <si>
    <t>DMA/KG-01</t>
  </si>
  <si>
    <t>DMA/ME-01</t>
  </si>
  <si>
    <t>DMA/MM-01</t>
  </si>
  <si>
    <t>DMA/SL-01</t>
  </si>
  <si>
    <t>DMA/SM-01</t>
  </si>
  <si>
    <t>DMA/SS-01</t>
  </si>
  <si>
    <t>DMA/TJ-01</t>
  </si>
  <si>
    <t>DMA/TV-01</t>
  </si>
  <si>
    <t>DMA/UG-01</t>
  </si>
  <si>
    <t>DMA/UZ-01</t>
  </si>
  <si>
    <t>DMA/VU-01</t>
  </si>
  <si>
    <t>DMD01</t>
  </si>
  <si>
    <t>DMR1C</t>
  </si>
  <si>
    <t>DMXX0027</t>
  </si>
  <si>
    <t>05/DMR1R</t>
  </si>
  <si>
    <t>0J/DMX202IC</t>
  </si>
  <si>
    <t>0J/DMX202TC</t>
  </si>
  <si>
    <t>DM0/42</t>
  </si>
  <si>
    <t>DMA</t>
  </si>
  <si>
    <t>DM0/43</t>
  </si>
  <si>
    <t>DM2/CR-**-01</t>
  </si>
  <si>
    <t>DMX202</t>
  </si>
  <si>
    <t>DM2/CR-**-43</t>
  </si>
  <si>
    <t>DMS1</t>
  </si>
  <si>
    <t>DM2/CR-**-42</t>
  </si>
  <si>
    <t>FCXB0012</t>
  </si>
  <si>
    <t>428/8304</t>
  </si>
  <si>
    <t>428/8306</t>
  </si>
  <si>
    <t>428/8307</t>
  </si>
  <si>
    <t>428/8308</t>
  </si>
  <si>
    <t>428/8309</t>
  </si>
  <si>
    <t>428/8310</t>
  </si>
  <si>
    <t>428/83300109</t>
  </si>
  <si>
    <t>428/833003</t>
  </si>
  <si>
    <t>428/8340</t>
  </si>
  <si>
    <t>428/834902</t>
  </si>
  <si>
    <t>428/834905</t>
  </si>
  <si>
    <t>428/8392</t>
  </si>
  <si>
    <t>CLE80012</t>
  </si>
  <si>
    <t>CR3/NA</t>
  </si>
  <si>
    <t>pk-cl-02-17.doc</t>
  </si>
  <si>
    <t>CR1/06</t>
  </si>
  <si>
    <t>CR3/EX</t>
  </si>
  <si>
    <t>CR4/01</t>
  </si>
  <si>
    <t>CR4/02</t>
  </si>
  <si>
    <t>CR4/03</t>
  </si>
  <si>
    <t>CR4/04</t>
  </si>
  <si>
    <t>CR4/05</t>
  </si>
  <si>
    <t>CR4/06</t>
  </si>
  <si>
    <t>CR4/07</t>
  </si>
  <si>
    <t>CR4/08</t>
  </si>
  <si>
    <t>CR4/09</t>
  </si>
  <si>
    <t>CR4/15</t>
  </si>
  <si>
    <t>CR4/16</t>
  </si>
  <si>
    <t>CR5/00</t>
  </si>
  <si>
    <t>CR5/01</t>
  </si>
  <si>
    <t>CR5/02</t>
  </si>
  <si>
    <t>TS-CLXFC</t>
  </si>
  <si>
    <t>162/CQ</t>
  </si>
  <si>
    <t>CH-CLSFC</t>
  </si>
  <si>
    <t>CLXX00AG</t>
  </si>
  <si>
    <t>CQR20009</t>
  </si>
  <si>
    <t>CQX10005</t>
  </si>
  <si>
    <t>CQX10010</t>
  </si>
  <si>
    <t>CQX10021</t>
  </si>
  <si>
    <t>CR1/01</t>
  </si>
  <si>
    <t>CR1/02</t>
  </si>
  <si>
    <t>CR1/03</t>
  </si>
  <si>
    <t>CR1/04</t>
  </si>
  <si>
    <t>CR1/05</t>
  </si>
  <si>
    <t>CR3/HV</t>
  </si>
  <si>
    <t>CR3/LV</t>
  </si>
  <si>
    <t>CR3/NX</t>
  </si>
  <si>
    <t>CR4/00</t>
  </si>
  <si>
    <t>XXFC</t>
  </si>
  <si>
    <t>FCSB</t>
  </si>
  <si>
    <t>FCXB0010</t>
  </si>
  <si>
    <t>FEZ8</t>
  </si>
  <si>
    <t>DM3/10</t>
  </si>
  <si>
    <t>DM4/10-CR</t>
  </si>
  <si>
    <t>DMA/AD-01</t>
  </si>
  <si>
    <t>DMA/AF-01</t>
  </si>
  <si>
    <t>DMA/AG-01</t>
  </si>
  <si>
    <t>DMA/AL-01</t>
  </si>
  <si>
    <t>DMA/AM-01</t>
  </si>
  <si>
    <t>DMA/AO-01</t>
  </si>
  <si>
    <t>DMA/AT-01</t>
  </si>
  <si>
    <t>DMA/AU-01</t>
  </si>
  <si>
    <t>DMA/AZ-01</t>
  </si>
  <si>
    <t>DMA/BA-01</t>
  </si>
  <si>
    <t>DMA/BD-01</t>
  </si>
  <si>
    <t>DMA/BE-01</t>
  </si>
  <si>
    <t>DMA/BF-01</t>
  </si>
  <si>
    <t>DMA/BG-01</t>
  </si>
  <si>
    <t>DMA/BH-01</t>
  </si>
  <si>
    <t>DMA/BI-01</t>
  </si>
  <si>
    <t>DMA/BJ-01</t>
  </si>
  <si>
    <t>DMA/BM-01</t>
  </si>
  <si>
    <t>DMA/BN-01</t>
  </si>
  <si>
    <t>DMA/BO-01</t>
  </si>
  <si>
    <t>DMA/BR-01</t>
  </si>
  <si>
    <t>DMA/BS-01</t>
  </si>
  <si>
    <t>DMA/BT-01</t>
  </si>
  <si>
    <t>DMA/BW-01</t>
  </si>
  <si>
    <t>DMA/BY-01</t>
  </si>
  <si>
    <t>DMA/BZ-01</t>
  </si>
  <si>
    <t>DMA/CA-01</t>
  </si>
  <si>
    <t>DMA/CF-01</t>
  </si>
  <si>
    <t>DMA/CG-01</t>
  </si>
  <si>
    <t>DMA/CH-01</t>
  </si>
  <si>
    <t>DMA/CI-01</t>
  </si>
  <si>
    <t>DMA/CL-01</t>
  </si>
  <si>
    <t>DMA/CM-01</t>
  </si>
  <si>
    <t>DMA/CN-01</t>
  </si>
  <si>
    <t>DMA/CO-01</t>
  </si>
  <si>
    <t>DMA/CU-01</t>
  </si>
  <si>
    <t>DMA/CV-01</t>
  </si>
  <si>
    <t>DMA/CY-01</t>
  </si>
  <si>
    <t>DMA/CZ-01</t>
  </si>
  <si>
    <t>DMA/DE-01</t>
  </si>
  <si>
    <t>DMA/DJ-01</t>
  </si>
  <si>
    <t>DMA/DK-01</t>
  </si>
  <si>
    <t>DMA/DM-01</t>
  </si>
  <si>
    <t>DMA/DZ-01</t>
  </si>
  <si>
    <t>DMA/EE-01</t>
  </si>
  <si>
    <t>DMA/EG-01</t>
  </si>
  <si>
    <t>DMA/EH-01</t>
  </si>
  <si>
    <t>DMA/ER-01</t>
  </si>
  <si>
    <t>DMA/ES-01</t>
  </si>
  <si>
    <t>DMA/ET-01</t>
  </si>
  <si>
    <t>DMA/FI-01</t>
  </si>
  <si>
    <t>DMA/FJ-01</t>
  </si>
  <si>
    <t>DMA/FM-01</t>
  </si>
  <si>
    <t>DMA/FR-01</t>
  </si>
  <si>
    <t>DMA/GA-01</t>
  </si>
  <si>
    <t>DMA/GB-01</t>
  </si>
  <si>
    <t>DMA/GD-01</t>
  </si>
  <si>
    <t>DMA/GE-01</t>
  </si>
  <si>
    <t>DMA/GF-01</t>
  </si>
  <si>
    <t>DMA/GH-01</t>
  </si>
  <si>
    <t>DMA/GL-01</t>
  </si>
  <si>
    <t>DMA/GM-01</t>
  </si>
  <si>
    <t>DMA/GN-01</t>
  </si>
  <si>
    <t>DMA/GT-01</t>
  </si>
  <si>
    <t>DMA/GY-01</t>
  </si>
  <si>
    <t>DMA/HN-01</t>
  </si>
  <si>
    <t>DMA/HR-01</t>
  </si>
  <si>
    <t>DMA/HT-01</t>
  </si>
  <si>
    <t>DMA/HU-01</t>
  </si>
  <si>
    <t>DMA/ID-01</t>
  </si>
  <si>
    <t>DMA/IE-01</t>
  </si>
  <si>
    <t>DMA/IL-01</t>
  </si>
  <si>
    <t>DMA/IN-01</t>
  </si>
  <si>
    <t>DMA/IQ-01</t>
  </si>
  <si>
    <t>DMA/IR-01</t>
  </si>
  <si>
    <t>DMA/IS-01</t>
  </si>
  <si>
    <t>DMA/IT-01</t>
  </si>
  <si>
    <t>DMA/JM-01</t>
  </si>
  <si>
    <t>DMA/JO-01</t>
  </si>
  <si>
    <t>DMA/JP-01</t>
  </si>
  <si>
    <t>DMA/KE-01</t>
  </si>
  <si>
    <t>DMA/KH-01</t>
  </si>
  <si>
    <t>DMA/KI-01</t>
  </si>
  <si>
    <t>DMA/KM-01</t>
  </si>
  <si>
    <t>DMA/KN-01</t>
  </si>
  <si>
    <t>DMA/KP-01</t>
  </si>
  <si>
    <t>DMA/KR-01</t>
  </si>
  <si>
    <t>DMA/KZ-01</t>
  </si>
  <si>
    <t>DMA/LA-01</t>
  </si>
  <si>
    <t>DMA/LB-01</t>
  </si>
  <si>
    <t>DMA/LC-01</t>
  </si>
  <si>
    <t>DMA/LI-01</t>
  </si>
  <si>
    <t>DMA/LK-01</t>
  </si>
  <si>
    <t>DMA/LR-01</t>
  </si>
  <si>
    <t>DMA/LS-01</t>
  </si>
  <si>
    <t>DMA/LT-01</t>
  </si>
  <si>
    <t>DMA/LU-01</t>
  </si>
  <si>
    <t>DMA/LV-01</t>
  </si>
  <si>
    <t>DMA/LY-01</t>
  </si>
  <si>
    <t>DMA/MA-01</t>
  </si>
  <si>
    <t>DMA/MC-01</t>
  </si>
  <si>
    <t>DMA/MD-01</t>
  </si>
  <si>
    <t>DMA/MG-01</t>
  </si>
  <si>
    <t>DMA/MH-01</t>
  </si>
  <si>
    <t>DMA/MK-01</t>
  </si>
  <si>
    <t>DMA/ML-01</t>
  </si>
  <si>
    <t>DMA/MN-01</t>
  </si>
  <si>
    <t>DMA/MR-01</t>
  </si>
  <si>
    <t>DMA/MT-01</t>
  </si>
  <si>
    <t>DMA/MU-01</t>
  </si>
  <si>
    <t>DMA/MV-01</t>
  </si>
  <si>
    <t>DMA/MW-01</t>
  </si>
  <si>
    <t>DMA/MX-01</t>
  </si>
  <si>
    <t>DMA/MY-01</t>
  </si>
  <si>
    <t>DMA/MZ-01</t>
  </si>
  <si>
    <t>DMA/NA-01</t>
  </si>
  <si>
    <t>DMA/NG-01</t>
  </si>
  <si>
    <t>DMA/NI-01</t>
  </si>
  <si>
    <t>DMA/NL-01</t>
  </si>
  <si>
    <t>DMA/NO-01</t>
  </si>
  <si>
    <t>DMA/NP-01</t>
  </si>
  <si>
    <t>DMA/NR-01</t>
  </si>
  <si>
    <t>DMA/NZ-01</t>
  </si>
  <si>
    <t>DMA/OM-01</t>
  </si>
  <si>
    <t>DMA/PA-01</t>
  </si>
  <si>
    <t>DMA/PE-01</t>
  </si>
  <si>
    <t>DMA/PG-01</t>
  </si>
  <si>
    <t>DMA/PH-01</t>
  </si>
  <si>
    <t>DMA/PK-01</t>
  </si>
  <si>
    <t>DMA/PL-01</t>
  </si>
  <si>
    <t>DMA/PR-01</t>
  </si>
  <si>
    <t>DMA/PS-01</t>
  </si>
  <si>
    <t>DMA/PT-01</t>
  </si>
  <si>
    <t>DMA/PW-01</t>
  </si>
  <si>
    <t>DMA/PY-01</t>
  </si>
  <si>
    <t>DMA/QA-01</t>
  </si>
  <si>
    <t>DMA/RO-01</t>
  </si>
  <si>
    <t>DMA/RS-01</t>
  </si>
  <si>
    <t>DMA/RU-01</t>
  </si>
  <si>
    <t>DMA/RW-01</t>
  </si>
  <si>
    <t>DMA/SA-01</t>
  </si>
  <si>
    <t>DMA/SB-01</t>
  </si>
  <si>
    <t>DMA/SC-01</t>
  </si>
  <si>
    <t>DMA/SD-01</t>
  </si>
  <si>
    <t>DMA/SE-01</t>
  </si>
  <si>
    <t>DMA/SG-01</t>
  </si>
  <si>
    <t>DMA/SI-01</t>
  </si>
  <si>
    <t>DMA/SK-01</t>
  </si>
  <si>
    <t>DMA/SN-01</t>
  </si>
  <si>
    <t>DMA/SO-01</t>
  </si>
  <si>
    <t>DMA/SR-01</t>
  </si>
  <si>
    <t>DMA/ST-01</t>
  </si>
  <si>
    <t>DMA/SV-01</t>
  </si>
  <si>
    <t>DMA/SY-01</t>
  </si>
  <si>
    <t>DMA/SZ-01</t>
  </si>
  <si>
    <t>DMA/TD-01</t>
  </si>
  <si>
    <t>DMA/TG-01</t>
  </si>
  <si>
    <t>DMA/TH-01</t>
  </si>
  <si>
    <t>DMA/TL-01</t>
  </si>
  <si>
    <t>DMA/TM-01</t>
  </si>
  <si>
    <t>DMA/TN-01</t>
  </si>
  <si>
    <t>DMA/TO-01</t>
  </si>
  <si>
    <t>DMA/TR-01</t>
  </si>
  <si>
    <t>DMA/TT-01</t>
  </si>
  <si>
    <t>DMA/TW-01</t>
  </si>
  <si>
    <t>DMA/TZ-01</t>
  </si>
  <si>
    <t>DMA/UA-01</t>
  </si>
  <si>
    <t>DMA/US-01</t>
  </si>
  <si>
    <t>DMA/UY-01</t>
  </si>
  <si>
    <t>DMA/VA-01</t>
  </si>
  <si>
    <t>DMA/VE-01</t>
  </si>
  <si>
    <t>DMA/VN-01</t>
  </si>
  <si>
    <t>DMA/WS-01</t>
  </si>
  <si>
    <t>DMA/YE-01</t>
  </si>
  <si>
    <t>DMA/YT-01</t>
  </si>
  <si>
    <t>DMA/ZA-01</t>
  </si>
  <si>
    <t>DMA/ZM-01</t>
  </si>
  <si>
    <t>DMA/ZW-01</t>
  </si>
  <si>
    <t>FCXB0001</t>
  </si>
  <si>
    <t>FCXB0002</t>
  </si>
  <si>
    <t>FCXB0003</t>
  </si>
  <si>
    <t>FCXB0004</t>
  </si>
  <si>
    <t>FCXB0005</t>
  </si>
  <si>
    <t>FCXB0006</t>
  </si>
  <si>
    <t>FCXB0007</t>
  </si>
  <si>
    <t>FCXB0011</t>
  </si>
  <si>
    <t>FCXB01</t>
  </si>
  <si>
    <t>FCXB02</t>
  </si>
  <si>
    <t>FCZE01</t>
  </si>
  <si>
    <t>FER80001</t>
  </si>
  <si>
    <t>FER80002</t>
  </si>
  <si>
    <t>FER80003</t>
  </si>
  <si>
    <t>FER80004</t>
  </si>
  <si>
    <t>FER80005</t>
  </si>
  <si>
    <t>FER8R</t>
  </si>
  <si>
    <t>FEZ80001</t>
  </si>
  <si>
    <t>FEZ801</t>
  </si>
  <si>
    <t>513/FCSB</t>
  </si>
  <si>
    <t>FCLB0001</t>
  </si>
  <si>
    <t>FCLB0002</t>
  </si>
  <si>
    <t>FCLB0003</t>
  </si>
  <si>
    <t>FCLB0004</t>
  </si>
  <si>
    <t>FCLB0005</t>
  </si>
  <si>
    <t>FCSB01</t>
  </si>
  <si>
    <t>FCSB02</t>
  </si>
  <si>
    <t>DMX20016</t>
  </si>
  <si>
    <t>DMX202IC</t>
  </si>
  <si>
    <t>DMX202TC</t>
  </si>
  <si>
    <t>DMXTRTEC</t>
  </si>
  <si>
    <t>DMA2</t>
  </si>
  <si>
    <t>DMC2</t>
  </si>
  <si>
    <t>DMD2</t>
  </si>
  <si>
    <t>DMM2</t>
  </si>
  <si>
    <t>DMM3</t>
  </si>
  <si>
    <t>DMR10021</t>
  </si>
  <si>
    <t>DMR1R</t>
  </si>
  <si>
    <t>RetrieveClientDocumentOut</t>
  </si>
  <si>
    <t>UpdateClientDocumentIn</t>
  </si>
  <si>
    <t>UpdateClientDocumentOut</t>
  </si>
  <si>
    <t>CreateClientDocumentOut</t>
  </si>
  <si>
    <t>CreateClientDocumentIn</t>
  </si>
  <si>
    <t>CompleteClientDocumentBeforeReceiptOut</t>
  </si>
  <si>
    <t>CancelClientDocumentOut</t>
  </si>
  <si>
    <t>CompleteClientDocumentBeforeReceiptIn</t>
  </si>
  <si>
    <t>CLC5/0000000000000003</t>
  </si>
  <si>
    <t>CLC5/0000000000000002</t>
  </si>
  <si>
    <t>CLC5/0000000000000005</t>
  </si>
  <si>
    <t>CLC5/0000000000000006</t>
  </si>
  <si>
    <t>CLRE0001</t>
  </si>
  <si>
    <t>CLRE0002</t>
  </si>
  <si>
    <t>CLRE0003</t>
  </si>
  <si>
    <t>CLRE0004</t>
  </si>
  <si>
    <t>CLRE0005</t>
  </si>
  <si>
    <t>CLRE0006</t>
  </si>
  <si>
    <t>CLRE0007</t>
  </si>
  <si>
    <t>CLRE0008</t>
  </si>
  <si>
    <t>CLRE0009</t>
  </si>
  <si>
    <t>CLRE0010</t>
  </si>
  <si>
    <t>M-CLRER</t>
  </si>
  <si>
    <t>CLC5/0000000000000004</t>
  </si>
  <si>
    <t>CLC5/0000000000000001</t>
  </si>
  <si>
    <t>513/CLSF</t>
  </si>
  <si>
    <t>CLLF0001</t>
  </si>
  <si>
    <t>CLLF0002</t>
  </si>
  <si>
    <t>CLLF0003</t>
  </si>
  <si>
    <t>CLLF0004</t>
  </si>
  <si>
    <t>CLS1</t>
  </si>
  <si>
    <t>CLSF0001</t>
  </si>
  <si>
    <t>CLSF0002</t>
  </si>
  <si>
    <t>CLSF02</t>
  </si>
  <si>
    <t>CLXF0001</t>
  </si>
  <si>
    <t>CLXF0002</t>
  </si>
  <si>
    <t>CLXF0003</t>
  </si>
  <si>
    <t>CQX10001</t>
  </si>
  <si>
    <t>CQX10002</t>
  </si>
  <si>
    <t>CQX10003</t>
  </si>
  <si>
    <t>CQX10004</t>
  </si>
  <si>
    <t>CQX10006</t>
  </si>
  <si>
    <t>CQX10007</t>
  </si>
  <si>
    <t>CQX10008</t>
  </si>
  <si>
    <t>CQX10009</t>
  </si>
  <si>
    <t>CQX10011</t>
  </si>
  <si>
    <t>CQX10012</t>
  </si>
  <si>
    <t>CQX10013</t>
  </si>
  <si>
    <t>CQX10014</t>
  </si>
  <si>
    <t>CQX10015</t>
  </si>
  <si>
    <t>CQX10016</t>
  </si>
  <si>
    <t>CQX10017</t>
  </si>
  <si>
    <t>CQX10018</t>
  </si>
  <si>
    <t>CQX10019</t>
  </si>
  <si>
    <t>CQX10020</t>
  </si>
  <si>
    <t>013/CLCF0001</t>
  </si>
  <si>
    <t>013/CLCF0002</t>
  </si>
  <si>
    <t>CQR20007</t>
  </si>
  <si>
    <t>CQZ201</t>
  </si>
  <si>
    <t>M-CQR2R</t>
  </si>
  <si>
    <t>CQR20008</t>
  </si>
  <si>
    <t>013/CQZ20001</t>
  </si>
  <si>
    <t>013/CQZ20002</t>
  </si>
  <si>
    <t>013/CQZ20003</t>
  </si>
  <si>
    <t>013/CQZ20004</t>
  </si>
  <si>
    <t>CLC4/0000000000000001</t>
  </si>
  <si>
    <t>CLC4/0000000000000002</t>
  </si>
  <si>
    <t>CLC4/0000000000000005</t>
  </si>
  <si>
    <t>CLC4/0000000000000006</t>
  </si>
  <si>
    <t>CLC4/0000000000000009</t>
  </si>
  <si>
    <t>CLC4/000000000000000A</t>
  </si>
  <si>
    <t>CLC4/000000000000000D</t>
  </si>
  <si>
    <t>CLC4/000000000000000E</t>
  </si>
  <si>
    <t>CLC4/000000000000000I</t>
  </si>
  <si>
    <t>CLC4/000000000000000J</t>
  </si>
  <si>
    <t>CLC4/000000000000000M</t>
  </si>
  <si>
    <t>CLC4/000000000000000N</t>
  </si>
  <si>
    <t>CLC4/000000000000000R</t>
  </si>
  <si>
    <t>CLC4/000000000000000S</t>
  </si>
  <si>
    <t>CLC4/000000000000000W</t>
  </si>
  <si>
    <t>CLC4/000000000000000X</t>
  </si>
  <si>
    <t>CLC4/000000000000000Z</t>
  </si>
  <si>
    <t>CLC4/0000000000000010</t>
  </si>
  <si>
    <t>CLC4/0000000000000013</t>
  </si>
  <si>
    <t>CLC4/0000000000000015</t>
  </si>
  <si>
    <t>CLC4/0000000000000016</t>
  </si>
  <si>
    <t>CLC4/0000000000000017</t>
  </si>
  <si>
    <t>CLC4/000000000000001A</t>
  </si>
  <si>
    <t>CLC4/000000000000001B</t>
  </si>
  <si>
    <t>CLC4/000000000000001C</t>
  </si>
  <si>
    <t>CLC4/000000000000001D</t>
  </si>
  <si>
    <t>CLC4/000000000000001H</t>
  </si>
  <si>
    <t>CLC4/000000000000001I</t>
  </si>
  <si>
    <t>CLC4/000000000000001J</t>
  </si>
  <si>
    <t>CLC4/000000000000001K</t>
  </si>
  <si>
    <t>CQR20001</t>
  </si>
  <si>
    <t>CQR20002</t>
  </si>
  <si>
    <t>CQR20003</t>
  </si>
  <si>
    <t>CQR20004</t>
  </si>
  <si>
    <t>CQR20005</t>
  </si>
  <si>
    <t>0J/M-TXR1R</t>
  </si>
  <si>
    <t>962/DIV</t>
  </si>
  <si>
    <t>TXX30036</t>
  </si>
  <si>
    <t>962/GRP</t>
  </si>
  <si>
    <t>962/INT</t>
  </si>
  <si>
    <t>962/OTH</t>
  </si>
  <si>
    <t>TX4/CEBONU</t>
  </si>
  <si>
    <t>TXA3</t>
  </si>
  <si>
    <t>TXC3</t>
  </si>
  <si>
    <t>TXD3</t>
  </si>
  <si>
    <t>TXM3</t>
  </si>
  <si>
    <t>0000004R</t>
  </si>
  <si>
    <t>000100</t>
  </si>
  <si>
    <t>P</t>
  </si>
  <si>
    <t>000000</t>
  </si>
  <si>
    <t>NUMTFT-not-added</t>
  </si>
  <si>
    <t xml:space="preserve"> </t>
  </si>
  <si>
    <t>SVRCFG</t>
  </si>
  <si>
    <t>N</t>
  </si>
  <si>
    <t>BES</t>
  </si>
  <si>
    <t>YF</t>
  </si>
  <si>
    <t>pk_checkTfMbr -o ./list_mbr_notTf.csv ya ./list_mbr.csv</t>
  </si>
  <si>
    <t>000200</t>
  </si>
  <si>
    <t>SVRBIN</t>
  </si>
  <si>
    <t>pk_checkTfMbr -o ./list_mbr_nt.csv nt ./list_mbr.csv</t>
  </si>
  <si>
    <t>000300</t>
  </si>
  <si>
    <t>DBDATA</t>
  </si>
  <si>
    <t>BAS</t>
  </si>
  <si>
    <t>[[ '$CWTHALERNG' == 'Y' ]] &amp;&amp; echo 'Please disable the Thaler BAS/FAS caches (use disableAllCaches)' &amp;&amp; return 2 || return 0</t>
  </si>
  <si>
    <t>000400</t>
  </si>
  <si>
    <t>Y</t>
  </si>
  <si>
    <t>pk_update &lt;NBRSOC&gt; CWD92 "delete from cwd92"</t>
  </si>
  <si>
    <t>000500</t>
  </si>
  <si>
    <t>[[ '$CWTAD01SHMRO' == 'Y' ]] &amp;&amp; pk_deleteshm || return 0</t>
  </si>
  <si>
    <t>000600</t>
  </si>
  <si>
    <t>DP</t>
  </si>
  <si>
    <t>pk_importDP -d ./DP</t>
  </si>
  <si>
    <t>000700</t>
  </si>
  <si>
    <t>SECU3</t>
  </si>
  <si>
    <t>pk_cm_generate_dba -c</t>
  </si>
  <si>
    <t>001100</t>
  </si>
  <si>
    <t>H</t>
  </si>
  <si>
    <t>TF</t>
  </si>
  <si>
    <t>pk_tftse_in -y 00029997 &lt;NBRSOC&gt; --force</t>
  </si>
  <si>
    <t>001200</t>
  </si>
  <si>
    <t>U</t>
  </si>
  <si>
    <t>pk_genCopy -e CCW16</t>
  </si>
  <si>
    <t>001300</t>
  </si>
  <si>
    <t>001400</t>
  </si>
  <si>
    <t>001500</t>
  </si>
  <si>
    <t>pk_genCopy -e CLD75</t>
  </si>
  <si>
    <t>001600</t>
  </si>
  <si>
    <t>001700</t>
  </si>
  <si>
    <t>001800</t>
  </si>
  <si>
    <t>001900</t>
  </si>
  <si>
    <t>pk_genCopy -e CLQ75</t>
  </si>
  <si>
    <t>002000</t>
  </si>
  <si>
    <t>002100</t>
  </si>
  <si>
    <t>002200</t>
  </si>
  <si>
    <t>pk_genCopy -e CLW15</t>
  </si>
  <si>
    <t>002300</t>
  </si>
  <si>
    <t>002400</t>
  </si>
  <si>
    <t>002500</t>
  </si>
  <si>
    <t>pk_genCopy -e CLW16</t>
  </si>
  <si>
    <t>002600</t>
  </si>
  <si>
    <t>002700</t>
  </si>
  <si>
    <t>002800</t>
  </si>
  <si>
    <t>002900</t>
  </si>
  <si>
    <t>pk_genCopy -e CLW17</t>
  </si>
  <si>
    <t>003000</t>
  </si>
  <si>
    <t>003100</t>
  </si>
  <si>
    <t>003200</t>
  </si>
  <si>
    <t>pk_genCopy -e CLL0WC</t>
  </si>
  <si>
    <t>003300</t>
  </si>
  <si>
    <t>003400</t>
  </si>
  <si>
    <t>003500</t>
  </si>
  <si>
    <t>pk_genCopy -e CLL0XC</t>
  </si>
  <si>
    <t>003600</t>
  </si>
  <si>
    <t>pk_filedesc ZZCR1 &lt;SOCTYP&gt;</t>
  </si>
  <si>
    <t>003700</t>
  </si>
  <si>
    <t>pk_filedesc ZZCR3 &lt;SOCTYP&gt;</t>
  </si>
  <si>
    <t>003800</t>
  </si>
  <si>
    <t>pk_filedesc ZZCR4 &lt;SOCTYP&gt;</t>
  </si>
  <si>
    <t>003900</t>
  </si>
  <si>
    <t>pk_filedesc ZZCR5 &lt;SOCTYP&gt;</t>
  </si>
  <si>
    <t>004000</t>
  </si>
  <si>
    <t>pk_filedesc ZZCR6 &lt;SOCTYP&gt;</t>
  </si>
  <si>
    <t>004100</t>
  </si>
  <si>
    <t>pk_filedesc ZZCR9 &lt;SOCTYP&gt;</t>
  </si>
  <si>
    <t>004200</t>
  </si>
  <si>
    <t>pk_filedesc ZZCRA &lt;SOCTYP&gt;</t>
  </si>
  <si>
    <t>004300</t>
  </si>
  <si>
    <t>pk_filedesc ZZCRM &lt;SOCTYP&gt;</t>
  </si>
  <si>
    <t>004400</t>
  </si>
  <si>
    <t>pk_filedesc ZZX77 &lt;SOCTYP&gt;</t>
  </si>
  <si>
    <t>004500</t>
  </si>
  <si>
    <t>pk_genCopy -e DMD01</t>
  </si>
  <si>
    <t>004600</t>
  </si>
  <si>
    <t>004700</t>
  </si>
  <si>
    <t>004800</t>
  </si>
  <si>
    <t>004900</t>
  </si>
  <si>
    <t>pk_filedesc ZZDMA &lt;SOCTYP&gt;</t>
  </si>
  <si>
    <t>005000</t>
  </si>
  <si>
    <t>pk_genCopy -e FCD09</t>
  </si>
  <si>
    <t>005100</t>
  </si>
  <si>
    <t>005200</t>
  </si>
  <si>
    <t>005300</t>
  </si>
  <si>
    <t>pk_filedesc ZZX57 &lt;SOCTYP&gt;</t>
  </si>
  <si>
    <t>005400</t>
  </si>
  <si>
    <t>cd $proc/def/; pk_readdef ccw16</t>
  </si>
  <si>
    <t>005500</t>
  </si>
  <si>
    <t>005600</t>
  </si>
  <si>
    <t>005700</t>
  </si>
  <si>
    <t>cd $proc/def/; pk_readdef cld75</t>
  </si>
  <si>
    <t>005800</t>
  </si>
  <si>
    <t>005900</t>
  </si>
  <si>
    <t>006000</t>
  </si>
  <si>
    <t>006100</t>
  </si>
  <si>
    <t>cd $proc/def/; pk_readdef clq75</t>
  </si>
  <si>
    <t>006200</t>
  </si>
  <si>
    <t>006300</t>
  </si>
  <si>
    <t>006400</t>
  </si>
  <si>
    <t>cd $proc/def/; pk_readdef clw15</t>
  </si>
  <si>
    <t>006500</t>
  </si>
  <si>
    <t>006600</t>
  </si>
  <si>
    <t>006700</t>
  </si>
  <si>
    <t>cd $proc/def/; pk_readdef clw16</t>
  </si>
  <si>
    <t>006800</t>
  </si>
  <si>
    <t>006900</t>
  </si>
  <si>
    <t>007000</t>
  </si>
  <si>
    <t>007100</t>
  </si>
  <si>
    <t>cd $proc/def/; pk_readdef clw17</t>
  </si>
  <si>
    <t>007200</t>
  </si>
  <si>
    <t>007300</t>
  </si>
  <si>
    <t>007400</t>
  </si>
  <si>
    <t>pk_readdef $proc/def/cll0w</t>
  </si>
  <si>
    <t>007500</t>
  </si>
  <si>
    <t>007600</t>
  </si>
  <si>
    <t>007700</t>
  </si>
  <si>
    <t>pk_readdef $proc/def/cll0x</t>
  </si>
  <si>
    <t>007800</t>
  </si>
  <si>
    <t>cd $proc/def/; pk_readdef dmd01</t>
  </si>
  <si>
    <t>007900</t>
  </si>
  <si>
    <t>008000</t>
  </si>
  <si>
    <t>008100</t>
  </si>
  <si>
    <t>008200</t>
  </si>
  <si>
    <t>cd $proc/def/; pk_readdef fcd09</t>
  </si>
  <si>
    <t>008300</t>
  </si>
  <si>
    <t>008400</t>
  </si>
  <si>
    <t>008500</t>
  </si>
  <si>
    <t>pk_filedesc CCW16 &lt;SOCTYP&gt;</t>
  </si>
  <si>
    <t>008600</t>
  </si>
  <si>
    <t>pk_ld -o -f -d</t>
  </si>
  <si>
    <t>008700</t>
  </si>
  <si>
    <t>pk_filedesc CLD75 &lt;SOCTYP&gt;</t>
  </si>
  <si>
    <t>008800</t>
  </si>
  <si>
    <t>pk_filedesc CLQ75 &lt;SOCTYP&gt;</t>
  </si>
  <si>
    <t>008900</t>
  </si>
  <si>
    <t>009000</t>
  </si>
  <si>
    <t>pk_filedesc CLW15 &lt;SOCTYP&gt;</t>
  </si>
  <si>
    <t>009100</t>
  </si>
  <si>
    <t>009200</t>
  </si>
  <si>
    <t>pk_filedesc CLW16 &lt;SOCTYP&gt;</t>
  </si>
  <si>
    <t>009300</t>
  </si>
  <si>
    <t>009400</t>
  </si>
  <si>
    <t>pk_filedesc CLW17 &lt;SOCTYP&gt;</t>
  </si>
  <si>
    <t>009500</t>
  </si>
  <si>
    <t>009600</t>
  </si>
  <si>
    <t>pk_filedesc CLL0WC &lt;SOCTYP&gt;</t>
  </si>
  <si>
    <t>009700</t>
  </si>
  <si>
    <t>009800</t>
  </si>
  <si>
    <t>pk_filedesc CLL0XC &lt;SOCTYP&gt;</t>
  </si>
  <si>
    <t>009900</t>
  </si>
  <si>
    <t>010000</t>
  </si>
  <si>
    <t>pk_filedesc FCD09 &lt;SOCTYP&gt;</t>
  </si>
  <si>
    <t>010100</t>
  </si>
  <si>
    <t>010200</t>
  </si>
  <si>
    <t>000050</t>
  </si>
  <si>
    <t>DBA</t>
  </si>
  <si>
    <t>DB-U</t>
  </si>
  <si>
    <t>pk_createentity -a zzdma &lt;NBRSOC&gt;</t>
  </si>
  <si>
    <t>010300</t>
  </si>
  <si>
    <t>pk_createentity -a CCW16 &lt;NBRSOC&gt;</t>
  </si>
  <si>
    <t>010400</t>
  </si>
  <si>
    <t>pk_createentity -a CLD75 &lt;NBRSOC&gt;</t>
  </si>
  <si>
    <t>010500</t>
  </si>
  <si>
    <t>pk_createentity -a CLW15 &lt;NBRSOC&gt;</t>
  </si>
  <si>
    <t>010600</t>
  </si>
  <si>
    <t>pk_createentity -a CLW16 &lt;NBRSOC&gt;</t>
  </si>
  <si>
    <t>010700</t>
  </si>
  <si>
    <t>pk_createentity -a zzcr1 &lt;NBRSOC&gt;</t>
  </si>
  <si>
    <t>010800</t>
  </si>
  <si>
    <t>pk_deccolumn  &lt;NBRSOC&gt; DMD01 EMTDOC</t>
  </si>
  <si>
    <t>010900</t>
  </si>
  <si>
    <t>pk_addcolumn  &lt;NBRSOC&gt; DMD01 EMTDOC</t>
  </si>
  <si>
    <t>011000</t>
  </si>
  <si>
    <t>pk_createentity -a FCD09 &lt;NBRSOC&gt;</t>
  </si>
  <si>
    <t>011100</t>
  </si>
  <si>
    <t>000160</t>
  </si>
  <si>
    <t>pk_dropcolumn &lt;NBRSOC&gt; CLW16 MONEVL-PDTEXM-10</t>
  </si>
  <si>
    <t>011200</t>
  </si>
  <si>
    <t>pk_createentity -a CLL0W &lt;NBRSOC&gt;</t>
  </si>
  <si>
    <t>011300</t>
  </si>
  <si>
    <t>pk_createentity -a zzcrm &lt;NBRSOC&gt;</t>
  </si>
  <si>
    <t>011400</t>
  </si>
  <si>
    <t>pk_createentity -a zzx77 &lt;NBRSOC&gt;</t>
  </si>
  <si>
    <t>011500</t>
  </si>
  <si>
    <t>pk_createentity -a zzx57 &lt;NBRSOC&gt;</t>
  </si>
  <si>
    <t>011600</t>
  </si>
  <si>
    <t>pk_dropcolumn &lt;NBRSOC&gt; CLW16 STAINV</t>
  </si>
  <si>
    <t>011700</t>
  </si>
  <si>
    <t>pk_createentity -a zzcr3 &lt;NBRSOC&gt;</t>
  </si>
  <si>
    <t>011800</t>
  </si>
  <si>
    <t>pk_createentity -a zzcr6 &lt;NBRSOC&gt;</t>
  </si>
  <si>
    <t>011900</t>
  </si>
  <si>
    <t>pk_dropcolumn &lt;NBRSOC&gt; CLW16 MONEVL-PDTEXM-1</t>
  </si>
  <si>
    <t>012000</t>
  </si>
  <si>
    <t>pk_createentity -a zzcr4 &lt;NBRSOC&gt;</t>
  </si>
  <si>
    <t>012100</t>
  </si>
  <si>
    <t>pk_createentity -a zzcr9 &lt;NBRSOC&gt;</t>
  </si>
  <si>
    <t>012200</t>
  </si>
  <si>
    <t>pk_droptable -i CLW16 &lt;NBRSOC&gt;</t>
  </si>
  <si>
    <t>012300</t>
  </si>
  <si>
    <t>pk_createentity -a zzcr5 &lt;NBRSOC&gt;</t>
  </si>
  <si>
    <t>012400</t>
  </si>
  <si>
    <t>pk_createentity -a zzcra &lt;NBRSOC&gt;</t>
  </si>
  <si>
    <t>012500</t>
  </si>
  <si>
    <t>pk_createentity -i CLW16 &lt;NBRSOC&gt;</t>
  </si>
  <si>
    <t>012600</t>
  </si>
  <si>
    <t>pk_createentity -a CLW17 &lt;NBRSOC&gt;</t>
  </si>
  <si>
    <t>012700</t>
  </si>
  <si>
    <t>pk_createentity -a CLL0X &lt;NBRSOC&gt;</t>
  </si>
  <si>
    <t>012800</t>
  </si>
  <si>
    <t>000800</t>
  </si>
  <si>
    <t>pk_dropcolumn &lt;NBRSOC&gt; CLW16 MONEVL-PDTEXM-2</t>
  </si>
  <si>
    <t>012900</t>
  </si>
  <si>
    <t>000900</t>
  </si>
  <si>
    <t>pk_dropcolumn &lt;NBRSOC&gt; CLW16 MONEVL-PDTEXM-3</t>
  </si>
  <si>
    <t>013000</t>
  </si>
  <si>
    <t>001000</t>
  </si>
  <si>
    <t>pk_dropcolumn &lt;NBRSOC&gt; CLW16 MONEVL-PDTEXM-4</t>
  </si>
  <si>
    <t>013100</t>
  </si>
  <si>
    <t>pk_dropcolumn &lt;NBRSOC&gt; CLW16 MONEVL-PDTEXM-5</t>
  </si>
  <si>
    <t>013200</t>
  </si>
  <si>
    <t>pk_dropcolumn &lt;NBRSOC&gt; CLW16 MONEVL-PDTEXM-6</t>
  </si>
  <si>
    <t>013300</t>
  </si>
  <si>
    <t>pk_dropcolumn &lt;NBRSOC&gt; CLW16 MONEVL-PDTEXM-7</t>
  </si>
  <si>
    <t>013400</t>
  </si>
  <si>
    <t>pk_dropcolumn &lt;NBRSOC&gt; CLW16 MONEVL-PDTEXM-8</t>
  </si>
  <si>
    <t>013500</t>
  </si>
  <si>
    <t>pk_dropcolumn &lt;NBRSOC&gt; CLW16 MONEVL-PDTEXM-9</t>
  </si>
  <si>
    <t>013600</t>
  </si>
  <si>
    <t>pk_cm_generate_dba &lt;NAMLOT&gt; TOS-&lt;REFLOT&gt; &lt;STPALL&gt;</t>
  </si>
  <si>
    <t>013700</t>
  </si>
  <si>
    <t>Check and execute the DBA run sheet $proc/cr_create/dba.&lt;NAMLOT&gt;.TOS-&lt;REFLOT&gt;.S.&lt;STPALL&gt;.runsheet.txt</t>
  </si>
  <si>
    <t>013800</t>
  </si>
  <si>
    <t>T</t>
  </si>
  <si>
    <t>pk_tftse_in -y 00029998 &lt;NBRSOC&gt; --force</t>
  </si>
  <si>
    <t>014000</t>
  </si>
  <si>
    <t>pk_tftse_in -y 00030000 &lt;NBRSOC&gt; --force</t>
  </si>
  <si>
    <t>014100</t>
  </si>
  <si>
    <t>pk_tftse_in -y 00030001 &lt;NBRSOC&gt; --force</t>
  </si>
  <si>
    <t>014200</t>
  </si>
  <si>
    <t>pk_tftse_in -y 00030002 &lt;NBRSOC&gt; --force</t>
  </si>
  <si>
    <t>014300</t>
  </si>
  <si>
    <t>30</t>
  </si>
  <si>
    <t>pk_tftse_in -y 00030003 &lt;NBRSOC&gt; --force</t>
  </si>
  <si>
    <t>014400</t>
  </si>
  <si>
    <t>pk_tftse_in -y 00030004 &lt;NBRSOC&gt; --force</t>
  </si>
  <si>
    <t>014600</t>
  </si>
  <si>
    <t>O</t>
  </si>
  <si>
    <t>pk_tftse_in -y 00030006 &lt;NBRSOC&gt; --force</t>
  </si>
  <si>
    <t>015300</t>
  </si>
  <si>
    <t>A</t>
  </si>
  <si>
    <t>pk_genCopy -e CCE9C</t>
  </si>
  <si>
    <t>015400</t>
  </si>
  <si>
    <t>015500</t>
  </si>
  <si>
    <t>015600</t>
  </si>
  <si>
    <t>pk_genCopy -e CCP008C</t>
  </si>
  <si>
    <t>015700</t>
  </si>
  <si>
    <t>015800</t>
  </si>
  <si>
    <t>015900</t>
  </si>
  <si>
    <t>Change the routine parameters in case of the default values do not fit the project</t>
  </si>
  <si>
    <t>016000</t>
  </si>
  <si>
    <t>pk_genCopy -e CH-CLSFC</t>
  </si>
  <si>
    <t>016100</t>
  </si>
  <si>
    <t>016200</t>
  </si>
  <si>
    <t>pk_genCopy -e CLE8C</t>
  </si>
  <si>
    <t>016300</t>
  </si>
  <si>
    <t>pk_genCopy -e CLE9C</t>
  </si>
  <si>
    <t>016400</t>
  </si>
  <si>
    <t>016500</t>
  </si>
  <si>
    <t>016600</t>
  </si>
  <si>
    <t>016700</t>
  </si>
  <si>
    <t>pk_genCopy -e CLLFC</t>
  </si>
  <si>
    <t>016800</t>
  </si>
  <si>
    <t>016900</t>
  </si>
  <si>
    <t>017000</t>
  </si>
  <si>
    <t>017100</t>
  </si>
  <si>
    <t>017200</t>
  </si>
  <si>
    <t>pk_genCopy -e CLP007C</t>
  </si>
  <si>
    <t>017300</t>
  </si>
  <si>
    <t>017400</t>
  </si>
  <si>
    <t>017500</t>
  </si>
  <si>
    <t>pk_genCopy -e CLP008C</t>
  </si>
  <si>
    <t>017600</t>
  </si>
  <si>
    <t>pk_genCopy -e CLREC</t>
  </si>
  <si>
    <t>017700</t>
  </si>
  <si>
    <t>017800</t>
  </si>
  <si>
    <t>017900</t>
  </si>
  <si>
    <t>pk_genCopy -e CLRHC</t>
  </si>
  <si>
    <t>018000</t>
  </si>
  <si>
    <t>018100</t>
  </si>
  <si>
    <t>018200</t>
  </si>
  <si>
    <t>pk_genCopy -e CLT015C</t>
  </si>
  <si>
    <t>018300</t>
  </si>
  <si>
    <t>018400</t>
  </si>
  <si>
    <t>018500</t>
  </si>
  <si>
    <t>pk_genCopy -e CLTR09C</t>
  </si>
  <si>
    <t>018600</t>
  </si>
  <si>
    <t>018700</t>
  </si>
  <si>
    <t>018800</t>
  </si>
  <si>
    <t>pk_genCopy -e CQR2C</t>
  </si>
  <si>
    <t>018900</t>
  </si>
  <si>
    <t>019000</t>
  </si>
  <si>
    <t>019100</t>
  </si>
  <si>
    <t>pk_genCopy -e CQR3C</t>
  </si>
  <si>
    <t>019200</t>
  </si>
  <si>
    <t>019300</t>
  </si>
  <si>
    <t>019400</t>
  </si>
  <si>
    <t>pk_genCopy -e CQX1C</t>
  </si>
  <si>
    <t>019500</t>
  </si>
  <si>
    <t>019600</t>
  </si>
  <si>
    <t>019700</t>
  </si>
  <si>
    <t>019800</t>
  </si>
  <si>
    <t>pk_genCopy -e TS-CLLFC</t>
  </si>
  <si>
    <t>019900</t>
  </si>
  <si>
    <t>020000</t>
  </si>
  <si>
    <t>020100</t>
  </si>
  <si>
    <t>pk_genCopy -e TS-CLXFC</t>
  </si>
  <si>
    <t>020200</t>
  </si>
  <si>
    <t>020300</t>
  </si>
  <si>
    <t>pk_genCopy -e CLXXV</t>
  </si>
  <si>
    <t>020400</t>
  </si>
  <si>
    <t>020500</t>
  </si>
  <si>
    <t>020600</t>
  </si>
  <si>
    <t>020700</t>
  </si>
  <si>
    <t>020800</t>
  </si>
  <si>
    <t>pk_delete_src CLSF01.CTV 04 CLSF01.CTV</t>
  </si>
  <si>
    <t>020900</t>
  </si>
  <si>
    <t>021000</t>
  </si>
  <si>
    <t>021100</t>
  </si>
  <si>
    <t>pk_insert_in_server CLAF &lt;SERVER&gt;</t>
  </si>
  <si>
    <t>021200</t>
  </si>
  <si>
    <t>pk_insert_in_server CLCF &lt;SERVER&gt;</t>
  </si>
  <si>
    <t>021300</t>
  </si>
  <si>
    <t>pk_insert_in_server CLDF &lt;SERVER&gt;</t>
  </si>
  <si>
    <t>021400</t>
  </si>
  <si>
    <t>pk_insert_in_server CLMF &lt;SERVER&gt;</t>
  </si>
  <si>
    <t>021500</t>
  </si>
  <si>
    <t>pk_insert_in_server CLSF &lt;SERVER&gt;</t>
  </si>
  <si>
    <t>021600</t>
  </si>
  <si>
    <t>pk_insert_in_server CQZ2 &lt;SERVER&gt;</t>
  </si>
  <si>
    <t>021700</t>
  </si>
  <si>
    <t>pk_insert_in_server CQZ3 &lt;SERVER&gt;</t>
  </si>
  <si>
    <t>021800</t>
  </si>
  <si>
    <t>pk_update &lt;NBRSOC&gt; ZZ013 "delete from ZZ013 where  argtbl= 'CLX10103'"</t>
  </si>
  <si>
    <t>021900</t>
  </si>
  <si>
    <t>pk_update &lt;NBRSOC&gt; CWD01 "delete from CWD01 where nummsg='CLRE0011' "</t>
  </si>
  <si>
    <t>022000</t>
  </si>
  <si>
    <t>pk_update &lt;NBRSOC&gt; CWD01 "delete from CWD01 where nummsg='CQR20006' "</t>
  </si>
  <si>
    <t>022100</t>
  </si>
  <si>
    <t>pk_update &lt;NBRSOC&gt; CWD01 "delete from CWD01 where nummsg='CQR30013' "</t>
  </si>
  <si>
    <t>022200</t>
  </si>
  <si>
    <t>pk_update &lt;NBRSOC&gt; CWD02 "delete from CWD02 where nompgm='CLLFR'"</t>
  </si>
  <si>
    <t>022300</t>
  </si>
  <si>
    <t>pk_update &lt;NBRSOC&gt; CWD02 "delete from CWD02 where nompgm='CQC1R'"</t>
  </si>
  <si>
    <t>022400</t>
  </si>
  <si>
    <t>pk_update &lt;NBRSOC&gt; CWD02 "delete from CWD02 where nompgm='CQD1R'"</t>
  </si>
  <si>
    <t>022500</t>
  </si>
  <si>
    <t>pk_update &lt;NBRSOC&gt; CWD02 "delete from CWD02 where nompgm='CQG1R'"</t>
  </si>
  <si>
    <t>022600</t>
  </si>
  <si>
    <t>pk_update &lt;NBRSOC&gt; CWD02 "delete from CWD02 where nompgm='CQU1R'"</t>
  </si>
  <si>
    <t>022700</t>
  </si>
  <si>
    <t>pk_genCopy -e DMR1C</t>
  </si>
  <si>
    <t>022800</t>
  </si>
  <si>
    <t>022900</t>
  </si>
  <si>
    <t>023000</t>
  </si>
  <si>
    <t>pk_genCopy -e CH-FCSBC</t>
  </si>
  <si>
    <t>023100</t>
  </si>
  <si>
    <t>023200</t>
  </si>
  <si>
    <t>023300</t>
  </si>
  <si>
    <t>pk_genCopy -e FCLBC</t>
  </si>
  <si>
    <t>023400</t>
  </si>
  <si>
    <t>023500</t>
  </si>
  <si>
    <t>023600</t>
  </si>
  <si>
    <t>023700</t>
  </si>
  <si>
    <t>pk_genCopy -e FCXBC</t>
  </si>
  <si>
    <t>023800</t>
  </si>
  <si>
    <t>023900</t>
  </si>
  <si>
    <t>024000</t>
  </si>
  <si>
    <t>pk_genCopy -e FER8C</t>
  </si>
  <si>
    <t>024100</t>
  </si>
  <si>
    <t>024200</t>
  </si>
  <si>
    <t>024300</t>
  </si>
  <si>
    <t>pk_genCopy -e TS-FCXBC</t>
  </si>
  <si>
    <t>024400</t>
  </si>
  <si>
    <t>024500</t>
  </si>
  <si>
    <t>024600</t>
  </si>
  <si>
    <t>pk_insert_in_server FCAB &lt;SERVER&gt;</t>
  </si>
  <si>
    <t>024700</t>
  </si>
  <si>
    <t>pk_insert_in_server FCCB &lt;SERVER&gt;</t>
  </si>
  <si>
    <t>024800</t>
  </si>
  <si>
    <t>pk_insert_in_server FCDB &lt;SERVER&gt;</t>
  </si>
  <si>
    <t>024900</t>
  </si>
  <si>
    <t>pk_insert_in_server FCMB &lt;SERVER&gt;</t>
  </si>
  <si>
    <t>025000</t>
  </si>
  <si>
    <t>pk_insert_in_server FCSB &lt;SERVER&gt;</t>
  </si>
  <si>
    <t>025100</t>
  </si>
  <si>
    <t>pk_insert_in_server FCZE &lt;SERVER&gt;</t>
  </si>
  <si>
    <t>025200</t>
  </si>
  <si>
    <t>pk_insert_in_server FEZ8 &lt;SERVER&gt;</t>
  </si>
  <si>
    <t>025300</t>
  </si>
  <si>
    <t>pk_delete_src CLSF01.CTV 04 CLSF01.CTVR.cbl</t>
  </si>
  <si>
    <t>025400</t>
  </si>
  <si>
    <t>PARAM</t>
  </si>
  <si>
    <t>Define acces right for CLAF</t>
  </si>
  <si>
    <t>025500</t>
  </si>
  <si>
    <t>Define acces right for CLCF</t>
  </si>
  <si>
    <t>025600</t>
  </si>
  <si>
    <t>Define acces right for CLDF</t>
  </si>
  <si>
    <t>025700</t>
  </si>
  <si>
    <t>Define acces right for CLMF</t>
  </si>
  <si>
    <t>025800</t>
  </si>
  <si>
    <t>Define acces right for CLSF</t>
  </si>
  <si>
    <t>025900</t>
  </si>
  <si>
    <t>Define acces right for CQZ2</t>
  </si>
  <si>
    <t>026000</t>
  </si>
  <si>
    <t>Define acces right for CQZ3</t>
  </si>
  <si>
    <t>026100</t>
  </si>
  <si>
    <t>pk_update &lt;NBRSOC&gt; YAD01  "delete from YAD01 where typmbr= '11' and nommbr='013/CLX10103'"</t>
  </si>
  <si>
    <t>026200</t>
  </si>
  <si>
    <t>pk_update &lt;NBRSOC&gt; YAD01  "delete from YAD01 where typmbr= '12' and nommbr='CLRE0011'"</t>
  </si>
  <si>
    <t>026300</t>
  </si>
  <si>
    <t>pk_update &lt;NBRSOC&gt; YAD01  "delete from YAD01 where typmbr= '12' and nommbr='CQR20006'"</t>
  </si>
  <si>
    <t>026400</t>
  </si>
  <si>
    <t>pk_update &lt;NBRSOC&gt; YAD01  "delete from YAD01 where typmbr= '12' and nommbr='CQR30013'"</t>
  </si>
  <si>
    <t>026500</t>
  </si>
  <si>
    <t>pk_update &lt;NBRSOC&gt; YAD01  "delete from YAD01 where typmbr= '16' and nommbr='CLLFR'"</t>
  </si>
  <si>
    <t>026600</t>
  </si>
  <si>
    <t>pk_update &lt;NBRSOC&gt; YAD01  "delete from YAD01 where typmbr= '16' and nommbr='CQC1R'"</t>
  </si>
  <si>
    <t>026700</t>
  </si>
  <si>
    <t>pk_update &lt;NBRSOC&gt; YAD01  "delete from YAD01 where typmbr= '16' and nommbr='CQD1R'"</t>
  </si>
  <si>
    <t>026800</t>
  </si>
  <si>
    <t>pk_update &lt;NBRSOC&gt; YAD01  "delete from YAD01 where typmbr= '16' and nommbr='CQG1R'"</t>
  </si>
  <si>
    <t>026900</t>
  </si>
  <si>
    <t>pk_update &lt;NBRSOC&gt; YAD01  "delete from YAD01 where typmbr= '16' and nommbr='CQU1R'"</t>
  </si>
  <si>
    <t>027000</t>
  </si>
  <si>
    <t>Define acces right for FCAB</t>
  </si>
  <si>
    <t>027100</t>
  </si>
  <si>
    <t>Define acces right for FCCB</t>
  </si>
  <si>
    <t>027200</t>
  </si>
  <si>
    <t>Define acces right for FCDB</t>
  </si>
  <si>
    <t>027300</t>
  </si>
  <si>
    <t>Define acces right for FCMB</t>
  </si>
  <si>
    <t>027400</t>
  </si>
  <si>
    <t>Define acces right for FCSB</t>
  </si>
  <si>
    <t>027500</t>
  </si>
  <si>
    <t>Define acces right for FCZE</t>
  </si>
  <si>
    <t>027600</t>
  </si>
  <si>
    <t>Define acces right for FEZ8</t>
  </si>
  <si>
    <t>027700</t>
  </si>
  <si>
    <t>pk_delete_src CLSF01.CTV 04 CLSF01.CTVV.cbl</t>
  </si>
  <si>
    <t>027800</t>
  </si>
  <si>
    <t>pk_update &lt;NBRSOC&gt; YAD01  "delete from YAD01 where typmbr= '04' and nommbr='CLSF01.CTV'"</t>
  </si>
  <si>
    <t>027900</t>
  </si>
  <si>
    <t>pk_update_va &lt;NBRSOC&gt; CLXXV TYPFIS-CRS '38'</t>
  </si>
  <si>
    <t>028000</t>
  </si>
  <si>
    <t>pk_update_va &lt;NBRSOC&gt; CLXXV SWICRS-WID 'Y'</t>
  </si>
  <si>
    <t>028100</t>
  </si>
  <si>
    <t>pk_update_va &lt;NBRSOC&gt; CLXXV SWILOG-CRSALL 'Y'</t>
  </si>
  <si>
    <t>028200</t>
  </si>
  <si>
    <t>COMPIL</t>
  </si>
  <si>
    <t>BESU</t>
  </si>
  <si>
    <t>pk_gensrc CWK1</t>
  </si>
  <si>
    <t>028300</t>
  </si>
  <si>
    <t>pk_gensrc FCK1</t>
  </si>
  <si>
    <t>028400</t>
  </si>
  <si>
    <t>pk_submit -y CWCHGCFG &lt;NBRSOC&gt;</t>
  </si>
  <si>
    <t>028500</t>
  </si>
  <si>
    <t>pk_gensrc CWK3</t>
  </si>
  <si>
    <t>028600</t>
  </si>
  <si>
    <t>pk_gensrc CWK4</t>
  </si>
  <si>
    <t>028700</t>
  </si>
  <si>
    <t>pk_check_upgrade</t>
  </si>
  <si>
    <t>028800</t>
  </si>
  <si>
    <t>[[ '$CWTAD01SHMRO' == 'Y' ]] &amp;&amp; pk_createshm -c 1024 -n 1024 -h 2048 -s 16 || return 0</t>
  </si>
  <si>
    <t>028900</t>
  </si>
  <si>
    <t>[[ '$CWTHALERNG' == 'Y' ]] &amp;&amp; echo 'Please enable the Thaler BAS/FAS caches (use enableAllCaches)' &amp;&amp; return 2 || return 0</t>
  </si>
  <si>
    <t>029000</t>
  </si>
  <si>
    <t>C</t>
  </si>
  <si>
    <t>Add a list addressee for list CLL0W1 (CWAJ)</t>
  </si>
  <si>
    <t>029100</t>
  </si>
  <si>
    <t>Add a list addressee for list CLL0X1 (CWAJ)</t>
  </si>
  <si>
    <t>029200</t>
  </si>
  <si>
    <t>3PPUPL</t>
  </si>
  <si>
    <t>BO</t>
  </si>
  <si>
    <t>Upload the BO univers CL in BO with BOTools.exe (see pk-3-bo-02-02.doc) if you use BO XI R2.2 and BO XI R 3.1 or macro BOtool (see pk-fwk-02-45.doc) if you use for BO 5.x and BO 6.x.</t>
  </si>
  <si>
    <t>029300</t>
  </si>
  <si>
    <t>029400</t>
  </si>
  <si>
    <t>Upload the BO list CLL0W1 in BO with BOTools.exe (see pk-3-bo-02-02.doc) if you use BO XI R2.2 and BO XI R 3.1 or macro BOtool (see pk-fwk-02-45.doc) if you use for BO 5.x and BO 6.x.</t>
  </si>
  <si>
    <t>029500</t>
  </si>
  <si>
    <t>Upload the BO list CLL0X1 in BO with BOTools.exe (see pk-3-bo-02-02.doc) if you use BO XI R2.2 and BO XI R 3.1 or macro BOtool (see pk-fwk-02-45.doc) if you use for BO 5.x and BO 6.x.</t>
  </si>
  <si>
    <t>029600</t>
  </si>
  <si>
    <t>029700</t>
  </si>
  <si>
    <t>029800</t>
  </si>
  <si>
    <t>The chain CCCRSINV must be added into the scheduler</t>
  </si>
  <si>
    <t>029900</t>
  </si>
  <si>
    <t>The chain CLCRSCHK must be added into the scheduler</t>
  </si>
  <si>
    <t>030000</t>
  </si>
  <si>
    <t>The chain CLCRSINV must be added into the scheduler</t>
  </si>
  <si>
    <t>030100</t>
  </si>
  <si>
    <t>Execute the XITP sheet linked to this patch : "XITP reportable jurisdictions.xls".</t>
  </si>
  <si>
    <t>030200</t>
  </si>
  <si>
    <t>pk_importYE -d ./YE ./list_mnt.txt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</si>
</sst>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[ &quot;\ dd/mm/yyyy\ &quot; ]&quot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Book Antiqua"/>
      <family val="1"/>
    </font>
    <font>
      <sz val="8"/>
      <name val="Book Antiqua"/>
      <family val="1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17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5"/>
        <bgColor indexed="24"/>
      </patternFill>
    </fill>
    <fill>
      <patternFill patternType="solid">
        <fgColor indexed="42"/>
        <bgColor indexed="27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ck">
        <color theme="4"/>
      </bottom>
      <diagonal/>
    </border>
    <border>
      <left/>
      <right style="medium">
        <color indexed="64"/>
      </right>
      <top/>
      <bottom style="thick">
        <color theme="4"/>
      </bottom>
      <diagonal/>
    </border>
    <border>
      <left/>
      <right/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/>
      <bottom/>
      <diagonal/>
    </border>
    <border>
      <left style="double">
        <color indexed="63"/>
      </left>
      <right/>
      <top/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25" fillId="36" borderId="32" applyNumberFormat="0" applyAlignment="0" applyProtection="0"/>
    <xf numFmtId="0" fontId="26" fillId="37" borderId="0" applyNumberFormat="0" applyBorder="0" applyAlignment="0" applyProtection="0"/>
  </cellStyleXfs>
  <cellXfs count="78">
    <xf numFmtId="0" fontId="0" fillId="0" borderId="0" xfId="0"/>
    <xf numFmtId="0" fontId="13" fillId="7" borderId="7" xfId="13"/>
    <xf numFmtId="0" fontId="0" fillId="0" borderId="0" xfId="0"/>
    <xf numFmtId="0" fontId="0" fillId="0" borderId="10" xfId="0" applyBorder="1"/>
    <xf numFmtId="0" fontId="13" fillId="7" borderId="10" xfId="13" applyBorder="1"/>
    <xf numFmtId="0" fontId="0" fillId="0" borderId="0" xfId="0" applyBorder="1"/>
    <xf numFmtId="0" fontId="13" fillId="7" borderId="21" xfId="13" applyBorder="1"/>
    <xf numFmtId="0" fontId="0" fillId="0" borderId="15" xfId="0" applyBorder="1"/>
    <xf numFmtId="0" fontId="0" fillId="35" borderId="0" xfId="0" applyFill="1"/>
    <xf numFmtId="0" fontId="20" fillId="0" borderId="0" xfId="0" applyFont="1" applyFill="1"/>
    <xf numFmtId="0" fontId="0" fillId="0" borderId="0" xfId="0" applyFill="1"/>
    <xf numFmtId="0" fontId="13" fillId="7" borderId="7" xfId="13" applyAlignment="1">
      <alignment vertical="top"/>
    </xf>
    <xf numFmtId="0" fontId="21" fillId="0" borderId="0" xfId="42"/>
    <xf numFmtId="0" fontId="21" fillId="0" borderId="22" xfId="42" applyBorder="1" applyAlignment="1"/>
    <xf numFmtId="0" fontId="21" fillId="0" borderId="23" xfId="42" applyBorder="1" applyAlignment="1"/>
    <xf numFmtId="0" fontId="13" fillId="7" borderId="21" xfId="13" applyBorder="1" applyAlignment="1"/>
    <xf numFmtId="0" fontId="13" fillId="7" borderId="21" xfId="13" applyBorder="1" applyAlignment="1">
      <alignment horizontal="center"/>
    </xf>
    <xf numFmtId="0" fontId="21" fillId="0" borderId="0" xfId="42" applyBorder="1" applyAlignment="1"/>
    <xf numFmtId="0" fontId="24" fillId="0" borderId="0" xfId="0" applyFont="1"/>
    <xf numFmtId="0" fontId="1" fillId="0" borderId="0" xfId="43"/>
    <xf numFmtId="0" fontId="18" fillId="33" borderId="11" xfId="0" applyFont="1" applyFill="1" applyBorder="1" applyAlignment="1">
      <alignment horizontal="right" vertical="center"/>
    </xf>
    <xf numFmtId="0" fontId="19" fillId="33" borderId="12" xfId="0" applyFont="1" applyFill="1" applyBorder="1" applyAlignment="1">
      <alignment horizontal="left" vertical="center"/>
    </xf>
    <xf numFmtId="0" fontId="19" fillId="33" borderId="12" xfId="0" applyFont="1" applyFill="1" applyBorder="1" applyAlignment="1">
      <alignment vertical="center"/>
    </xf>
    <xf numFmtId="0" fontId="0" fillId="33" borderId="12" xfId="0" applyFill="1" applyBorder="1" applyAlignment="1">
      <alignment vertical="center"/>
    </xf>
    <xf numFmtId="0" fontId="0" fillId="0" borderId="0" xfId="0" applyAlignment="1">
      <alignment vertical="center"/>
    </xf>
    <xf numFmtId="0" fontId="18" fillId="33" borderId="13" xfId="0" applyFont="1" applyFill="1" applyBorder="1" applyAlignment="1">
      <alignment horizontal="right" vertical="center"/>
    </xf>
    <xf numFmtId="0" fontId="18" fillId="33" borderId="0" xfId="0" applyFont="1" applyFill="1" applyBorder="1" applyAlignment="1">
      <alignment horizontal="right" vertical="center"/>
    </xf>
    <xf numFmtId="0" fontId="19" fillId="0" borderId="10" xfId="0" applyFont="1" applyBorder="1" applyAlignment="1">
      <alignment vertical="center"/>
    </xf>
    <xf numFmtId="0" fontId="0" fillId="33" borderId="0" xfId="0" applyFill="1" applyBorder="1" applyAlignment="1">
      <alignment vertical="center"/>
    </xf>
    <xf numFmtId="0" fontId="19" fillId="33" borderId="0" xfId="0" applyFont="1" applyFill="1" applyBorder="1" applyAlignment="1">
      <alignment vertical="center"/>
    </xf>
    <xf numFmtId="164" fontId="19" fillId="34" borderId="10" xfId="0" applyNumberFormat="1" applyFont="1" applyFill="1" applyBorder="1" applyAlignment="1">
      <alignment horizontal="left" vertical="center"/>
    </xf>
    <xf numFmtId="0" fontId="19" fillId="0" borderId="16" xfId="0" applyFont="1" applyBorder="1" applyAlignment="1">
      <alignment horizontal="left" vertical="center"/>
    </xf>
    <xf numFmtId="0" fontId="19" fillId="0" borderId="17" xfId="0" applyFont="1" applyBorder="1" applyAlignment="1">
      <alignment horizontal="left" vertical="center"/>
    </xf>
    <xf numFmtId="0" fontId="19" fillId="33" borderId="18" xfId="0" applyFont="1" applyFill="1" applyBorder="1" applyAlignment="1">
      <alignment horizontal="right" vertical="center"/>
    </xf>
    <xf numFmtId="0" fontId="19" fillId="33" borderId="19" xfId="0" applyFont="1" applyFill="1" applyBorder="1" applyAlignment="1">
      <alignment horizontal="right" vertical="center"/>
    </xf>
    <xf numFmtId="0" fontId="19" fillId="33" borderId="19" xfId="0" applyFont="1" applyFill="1" applyBorder="1" applyAlignment="1">
      <alignment vertical="center"/>
    </xf>
    <xf numFmtId="0" fontId="13" fillId="7" borderId="21" xfId="13" applyBorder="1" applyAlignment="1">
      <alignment vertical="center"/>
    </xf>
    <xf numFmtId="0" fontId="0" fillId="0" borderId="10" xfId="0" applyBorder="1" applyAlignment="1">
      <alignment vertical="center"/>
    </xf>
    <xf numFmtId="0" fontId="18" fillId="3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9" fillId="33" borderId="19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0" borderId="15" xfId="0" quotePrefix="1" applyFont="1" applyBorder="1" applyAlignment="1">
      <alignment horizontal="left" vertical="center"/>
    </xf>
    <xf numFmtId="16" fontId="19" fillId="0" borderId="10" xfId="0" applyNumberFormat="1" applyFont="1" applyBorder="1" applyAlignment="1">
      <alignment vertical="center"/>
    </xf>
    <xf numFmtId="16" fontId="0" fillId="0" borderId="10" xfId="0" applyNumberFormat="1" applyBorder="1" applyAlignment="1">
      <alignment vertical="center"/>
    </xf>
    <xf numFmtId="0" fontId="0" fillId="0" borderId="25" xfId="0" applyFill="1" applyBorder="1"/>
    <xf numFmtId="0" fontId="0" fillId="0" borderId="0" xfId="0" applyFill="1" applyBorder="1"/>
    <xf numFmtId="0" fontId="0" fillId="0" borderId="0" xfId="0"/>
    <xf numFmtId="0" fontId="0" fillId="0" borderId="26" xfId="0" applyFill="1" applyBorder="1"/>
    <xf numFmtId="0" fontId="3" fillId="0" borderId="1" xfId="2"/>
    <xf numFmtId="0" fontId="13" fillId="7" borderId="21" xfId="13" applyBorder="1" applyAlignment="1">
      <alignment vertical="top"/>
    </xf>
    <xf numFmtId="0" fontId="0" fillId="0" borderId="0" xfId="0" applyAlignment="1">
      <alignment wrapText="1"/>
    </xf>
    <xf numFmtId="0" fontId="3" fillId="0" borderId="27" xfId="2" applyBorder="1"/>
    <xf numFmtId="0" fontId="9" fillId="5" borderId="4" xfId="9" applyBorder="1"/>
    <xf numFmtId="0" fontId="3" fillId="0" borderId="28" xfId="2" applyBorder="1"/>
    <xf numFmtId="0" fontId="0" fillId="0" borderId="13" xfId="0" applyBorder="1"/>
    <xf numFmtId="0" fontId="0" fillId="0" borderId="14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3" fillId="7" borderId="21" xfId="13" applyBorder="1" applyAlignment="1">
      <alignment horizontal="center" vertical="center"/>
    </xf>
    <xf numFmtId="0" fontId="25" fillId="36" borderId="32" xfId="44" applyNumberFormat="1" applyFont="1" applyAlignment="1" applyProtection="1"/>
    <xf numFmtId="0" fontId="25" fillId="36" borderId="33" xfId="44" applyNumberFormat="1" applyFont="1" applyBorder="1" applyAlignment="1" applyProtection="1"/>
    <xf numFmtId="0" fontId="0" fillId="0" borderId="0" xfId="0" applyFont="1"/>
    <xf numFmtId="0" fontId="0" fillId="0" borderId="0" xfId="0" applyNumberFormat="1" applyFont="1"/>
    <xf numFmtId="0" fontId="26" fillId="37" borderId="32" xfId="45" applyNumberFormat="1" applyFont="1" applyBorder="1" applyAlignment="1" applyProtection="1"/>
    <xf numFmtId="0" fontId="26" fillId="37" borderId="0" xfId="45" applyNumberFormat="1" applyFont="1" applyBorder="1" applyAlignment="1" applyProtection="1"/>
    <xf numFmtId="0" fontId="25" fillId="36" borderId="34" xfId="44" applyNumberFormat="1" applyFont="1" applyBorder="1" applyAlignment="1" applyProtection="1"/>
    <xf numFmtId="0" fontId="17" fillId="25" borderId="29" xfId="34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3" fillId="7" borderId="30" xfId="13" applyBorder="1" applyAlignment="1">
      <alignment horizontal="center" vertical="center"/>
    </xf>
    <xf numFmtId="0" fontId="13" fillId="7" borderId="31" xfId="13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cel_BuiltIn_Check Cell" xfId="44"/>
    <cellStyle name="Excel_BuiltIn_Good" xfId="45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30"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 patternType="solid">
          <bgColor rgb="FFFF6969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3300"/>
      <color rgb="FFFF4646"/>
      <color rgb="FFFF3F3F"/>
      <color rgb="FFFF4B4B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externalLinks/externalLink1.xml" Type="http://schemas.openxmlformats.org/officeDocument/2006/relationships/externalLink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externalLinks/_rels/externalLink1.xml.rels><?xml version="1.0" encoding="UTF-8" standalone="no"?>
<Relationships xmlns="http://schemas.openxmlformats.org/package/2006/relationships">
<Relationship Id="rId1" Target="/Users/gletellier/Documents/201401/17.%20PIP%20PIPz/PACK-PIP-0072.xlsm" TargetMode="External" Type="http://schemas.openxmlformats.org/officeDocument/2006/relationships/externalLinkPath"/>
</Relationships>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Statu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drawings/vmlDrawing1.vml" Type="http://schemas.openxmlformats.org/officeDocument/2006/relationships/vmlDrawing"/>
<Relationship Id="rId4" Target="../comments1.xml" Type="http://schemas.openxmlformats.org/officeDocument/2006/relationships/comment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printerSettings/printerSettings5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printerSettings/printerSettings7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5"/>
  <sheetViews>
    <sheetView zoomScale="85" zoomScaleNormal="85" workbookViewId="0">
      <pane ySplit="14" topLeftCell="A15" activePane="bottomLeft" state="frozen"/>
      <selection pane="bottomLeft" activeCell="C10" sqref="C10"/>
    </sheetView>
  </sheetViews>
  <sheetFormatPr defaultRowHeight="15" x14ac:dyDescent="0.25"/>
  <cols>
    <col min="1" max="1" bestFit="true" customWidth="true" style="24" width="7.5703125" collapsed="true"/>
    <col min="2" max="2" bestFit="true" customWidth="true" style="39" width="13.5703125" collapsed="true"/>
    <col min="3" max="3" bestFit="true" customWidth="true" style="24" width="72.5703125" collapsed="true"/>
    <col min="4" max="4" bestFit="true" customWidth="true" style="24" width="7.85546875" collapsed="true"/>
    <col min="5" max="5" bestFit="true" customWidth="true" style="24" width="7.140625" collapsed="true"/>
    <col min="6" max="6" bestFit="true" customWidth="true" style="24" width="16.42578125" collapsed="true"/>
    <col min="7" max="7" bestFit="true" customWidth="true" style="24" width="15.0" collapsed="true"/>
    <col min="8" max="8" bestFit="true" customWidth="true" style="24" width="5.7109375" collapsed="true"/>
    <col min="9" max="9" bestFit="true" customWidth="true" style="24" width="73.28515625" collapsed="true"/>
    <col min="10" max="10" bestFit="true" customWidth="true" style="24" width="100.28515625" collapsed="true"/>
    <col min="11" max="11" customWidth="true" style="24" width="58.85546875" collapsed="true"/>
    <col min="12" max="16384" style="24" width="9.140625" collapsed="true"/>
  </cols>
  <sheetData>
    <row r="1" spans="1:10" ht="3.75" customHeight="1" x14ac:dyDescent="0.25">
      <c r="A1" s="20"/>
      <c r="B1" s="38"/>
      <c r="C1" s="21"/>
      <c r="D1" s="21"/>
      <c r="E1" s="22"/>
      <c r="F1" s="23"/>
      <c r="G1" s="23"/>
      <c r="H1" s="23"/>
      <c r="I1" s="23"/>
      <c r="J1"/>
    </row>
    <row r="2" spans="1:10" ht="15" customHeight="1" x14ac:dyDescent="0.25">
      <c r="A2" s="71" t="s">
        <v>5</v>
      </c>
      <c r="B2" s="72"/>
      <c r="C2" s="27" t="s">
        <v>319</v>
      </c>
      <c r="D2" s="28"/>
      <c r="E2" s="26" t="s">
        <v>155</v>
      </c>
      <c r="F2" s="24" t="s">
        <v>320</v>
      </c>
      <c r="G2" s="26" t="s">
        <v>156</v>
      </c>
      <c r="H2" s="24" t="s">
        <v>321</v>
      </c>
      <c r="I2" s="29"/>
      <c r="J2"/>
    </row>
    <row r="3" spans="1:10" ht="3.75" customHeight="1" x14ac:dyDescent="0.25">
      <c r="A3" s="25"/>
      <c r="B3" s="40"/>
      <c r="C3" s="28"/>
      <c r="D3" s="28"/>
      <c r="E3" s="28"/>
      <c r="F3" s="28"/>
      <c r="G3" s="28"/>
      <c r="H3" s="28"/>
      <c r="I3" s="29"/>
      <c r="J3"/>
    </row>
    <row r="4" spans="1:10" ht="15" customHeight="1" x14ac:dyDescent="0.25">
      <c r="A4" s="71" t="s">
        <v>158</v>
      </c>
      <c r="B4" s="73"/>
      <c r="C4" s="45"/>
      <c r="D4" s="28"/>
      <c r="E4" s="26" t="s">
        <v>3</v>
      </c>
      <c r="F4" s="27" t="s">
        <v>202</v>
      </c>
      <c r="G4" s="26" t="s">
        <v>157</v>
      </c>
      <c r="H4" s="27" t="s">
        <v>72</v>
      </c>
      <c r="I4" s="29"/>
      <c r="J4"/>
    </row>
    <row r="5" spans="1:10" ht="3.75" customHeight="1" x14ac:dyDescent="0.25">
      <c r="A5" s="25"/>
      <c r="B5" s="40"/>
      <c r="C5" s="28"/>
      <c r="D5" s="28"/>
      <c r="E5" s="29"/>
      <c r="F5" s="28"/>
      <c r="G5" s="28"/>
      <c r="H5" s="28"/>
      <c r="I5" s="29"/>
      <c r="J5"/>
    </row>
    <row r="6" spans="1:10" ht="3.75" customHeight="1" x14ac:dyDescent="0.25">
      <c r="A6" s="25"/>
      <c r="B6" s="40"/>
      <c r="C6" s="28"/>
      <c r="D6" s="28"/>
      <c r="E6" s="28"/>
      <c r="F6" s="28"/>
      <c r="G6" s="28"/>
      <c r="H6" s="28"/>
      <c r="I6" s="29"/>
      <c r="J6"/>
    </row>
    <row r="7" spans="1:10" ht="15" customHeight="1" x14ac:dyDescent="0.25">
      <c r="A7" s="71" t="s">
        <v>184</v>
      </c>
      <c r="B7" s="72"/>
      <c r="C7" s="49"/>
      <c r="D7" s="28"/>
      <c r="E7" s="26" t="s">
        <v>159</v>
      </c>
      <c r="F7" s="30"/>
      <c r="G7" s="26" t="s">
        <v>160</v>
      </c>
      <c r="H7" s="45"/>
      <c r="I7" s="29"/>
      <c r="J7"/>
    </row>
    <row r="8" spans="1:10" ht="3.75" customHeight="1" x14ac:dyDescent="0.25">
      <c r="A8" s="25"/>
      <c r="B8" s="40"/>
      <c r="C8" s="28"/>
      <c r="D8" s="28"/>
      <c r="E8" s="26"/>
      <c r="F8" s="29"/>
      <c r="G8" s="29"/>
      <c r="H8" s="26"/>
      <c r="I8" s="29"/>
      <c r="J8"/>
    </row>
    <row r="9" spans="1:10" ht="15" customHeight="1" x14ac:dyDescent="0.25">
      <c r="A9" s="71" t="s">
        <v>161</v>
      </c>
      <c r="B9" s="72"/>
      <c r="C9" t="s">
        <v>318</v>
      </c>
      <c r="D9" s="28"/>
      <c r="E9" s="26" t="s">
        <v>218</v>
      </c>
      <c r="F9" s="30" t="s">
        <v>216</v>
      </c>
      <c r="G9" s="26" t="s">
        <v>217</v>
      </c>
      <c r="H9" s="30" t="s">
        <v>216</v>
      </c>
      <c r="I9" s="29"/>
      <c r="J9"/>
    </row>
    <row r="10" spans="1:10" ht="3.75" customHeight="1" x14ac:dyDescent="0.25">
      <c r="A10" s="25"/>
      <c r="B10" s="40"/>
      <c r="C10" s="28"/>
      <c r="D10" s="28"/>
      <c r="E10" s="29"/>
      <c r="F10" s="28"/>
      <c r="G10" s="28"/>
      <c r="H10" s="28"/>
      <c r="I10" s="28"/>
      <c r="J10"/>
    </row>
    <row r="11" spans="1:10" ht="15" customHeight="1" x14ac:dyDescent="0.25">
      <c r="A11" s="71" t="s">
        <v>185</v>
      </c>
      <c r="B11" s="72"/>
      <c r="C11" s="44"/>
      <c r="D11" s="31"/>
      <c r="E11" s="31"/>
      <c r="F11" s="31"/>
      <c r="G11" s="31"/>
      <c r="H11" s="31"/>
      <c r="I11" s="32"/>
      <c r="J11"/>
    </row>
    <row r="12" spans="1:10" ht="3.75" customHeight="1" thickBot="1" x14ac:dyDescent="0.3">
      <c r="A12" s="33"/>
      <c r="B12" s="41"/>
      <c r="C12" s="34"/>
      <c r="D12" s="34"/>
      <c r="E12" s="35"/>
      <c r="F12" s="35"/>
      <c r="G12" s="35"/>
      <c r="H12" s="35"/>
      <c r="I12" s="35"/>
      <c r="J12"/>
    </row>
    <row r="13" spans="1:10" ht="15.75" thickBot="1" x14ac:dyDescent="0.3">
      <c r="A13" s="70" t="str">
        <f>CONCATENATE("cd $SH/rmm_32",";","pk_RMM_execProc RMM.cfg RMM_upgradeEnv ",C9)</f>
        <v>cd $SH/rmm_32;pk_RMM_execProc RMM.cfg RMM_upgradeEnv PACK-XXX-XXXX</v>
      </c>
      <c r="B13" s="70"/>
      <c r="C13" s="70"/>
      <c r="D13" s="70"/>
      <c r="E13" s="70"/>
      <c r="F13" s="70"/>
      <c r="G13" s="70"/>
      <c r="H13" s="70"/>
      <c r="I13" s="70"/>
    </row>
    <row r="14" spans="1:10" ht="15" customHeight="1" thickTop="1" x14ac:dyDescent="0.25">
      <c r="A14" s="36" t="s">
        <v>3</v>
      </c>
      <c r="B14" s="62" t="s">
        <v>172</v>
      </c>
      <c r="C14" s="36" t="s">
        <v>6</v>
      </c>
      <c r="D14" s="62" t="s">
        <v>162</v>
      </c>
      <c r="E14" s="62" t="s">
        <v>163</v>
      </c>
      <c r="F14" s="74" t="s">
        <v>8</v>
      </c>
      <c r="G14" s="75"/>
      <c r="H14" s="75"/>
      <c r="I14" s="75"/>
    </row>
    <row r="15" spans="1:10" x14ac:dyDescent="0.25">
      <c r="A15" s="37" t="s">
        <v>202</v>
      </c>
      <c r="B15" s="42" t="s">
        <v>173</v>
      </c>
      <c r="C15" s="37" t="s">
        <v>164</v>
      </c>
      <c r="D15" s="46"/>
      <c r="E15" s="46"/>
      <c r="F15" s="76"/>
      <c r="G15" s="76"/>
      <c r="H15" s="76"/>
      <c r="I15" s="76"/>
    </row>
    <row r="16" spans="1:10" x14ac:dyDescent="0.25">
      <c r="A16" s="37" t="s">
        <v>202</v>
      </c>
      <c r="B16" s="42" t="s">
        <v>173</v>
      </c>
      <c r="C16" s="37" t="s">
        <v>169</v>
      </c>
      <c r="D16" s="46"/>
      <c r="E16" s="37"/>
      <c r="F16" s="76"/>
      <c r="G16" s="76"/>
      <c r="H16" s="76"/>
      <c r="I16" s="76"/>
    </row>
    <row r="17" spans="1:9" x14ac:dyDescent="0.25">
      <c r="A17" s="37" t="s">
        <v>202</v>
      </c>
      <c r="B17" s="42" t="s">
        <v>173</v>
      </c>
      <c r="C17" s="37" t="s">
        <v>165</v>
      </c>
      <c r="D17" s="46"/>
      <c r="E17" s="46"/>
      <c r="F17" s="76"/>
      <c r="G17" s="76"/>
      <c r="H17" s="76"/>
      <c r="I17" s="76"/>
    </row>
    <row r="18" spans="1:9" x14ac:dyDescent="0.25">
      <c r="A18" s="37" t="s">
        <v>202</v>
      </c>
      <c r="B18" s="37" t="s">
        <v>179</v>
      </c>
      <c r="C18" s="37" t="s">
        <v>170</v>
      </c>
      <c r="D18" s="46"/>
      <c r="E18" s="46"/>
      <c r="F18" s="76"/>
      <c r="G18" s="76"/>
      <c r="H18" s="76"/>
      <c r="I18" s="76"/>
    </row>
    <row r="19" spans="1:9" x14ac:dyDescent="0.25">
      <c r="A19" s="37" t="s">
        <v>202</v>
      </c>
      <c r="B19" s="42" t="s">
        <v>174</v>
      </c>
      <c r="C19" s="37" t="str">
        <f>CONCATENATE("Generate the transfer operations on ",F2)</f>
        <v>Generate the transfer operations on From here</v>
      </c>
      <c r="D19" s="46"/>
      <c r="E19" s="46"/>
      <c r="F19" s="76"/>
      <c r="G19" s="76"/>
      <c r="H19" s="76"/>
      <c r="I19" s="76"/>
    </row>
    <row r="20" spans="1:9" x14ac:dyDescent="0.25">
      <c r="A20" s="37" t="s">
        <v>202</v>
      </c>
      <c r="B20" s="42" t="s">
        <v>174</v>
      </c>
      <c r="C20" s="37" t="str">
        <f>CONCATENATE("Check the generated transfer operations for pack ",C11)</f>
        <v xml:space="preserve">Check the generated transfer operations for pack </v>
      </c>
      <c r="D20" s="46"/>
      <c r="E20" s="46"/>
      <c r="F20" s="76"/>
      <c r="G20" s="76"/>
      <c r="H20" s="76"/>
      <c r="I20" s="76"/>
    </row>
    <row r="21" spans="1:9" x14ac:dyDescent="0.25">
      <c r="A21" s="37" t="s">
        <v>202</v>
      </c>
      <c r="B21" s="42" t="s">
        <v>174</v>
      </c>
      <c r="C21" s="37" t="s">
        <v>181</v>
      </c>
      <c r="D21" s="46"/>
      <c r="E21" s="46"/>
      <c r="F21" s="76"/>
      <c r="G21" s="76"/>
      <c r="H21" s="76"/>
      <c r="I21" s="76"/>
    </row>
    <row r="22" spans="1:9" x14ac:dyDescent="0.25">
      <c r="A22" s="37" t="s">
        <v>202</v>
      </c>
      <c r="B22" s="42" t="s">
        <v>174</v>
      </c>
      <c r="C22" s="37" t="s">
        <v>180</v>
      </c>
      <c r="D22" s="46"/>
      <c r="E22" s="46"/>
      <c r="F22" s="76"/>
      <c r="G22" s="76"/>
      <c r="H22" s="76"/>
      <c r="I22" s="76"/>
    </row>
    <row r="23" spans="1:9" x14ac:dyDescent="0.25">
      <c r="A23" s="37" t="s">
        <v>202</v>
      </c>
      <c r="B23" s="42" t="s">
        <v>175</v>
      </c>
      <c r="C23" s="37" t="str">
        <f>CONCATENATE("Add the Synergy tasks to the manual folder of ",H2)</f>
        <v>Add the Synergy tasks to the manual folder of To here</v>
      </c>
      <c r="D23" s="46"/>
      <c r="E23" s="46"/>
      <c r="F23" s="76"/>
      <c r="G23" s="76"/>
      <c r="H23" s="76"/>
      <c r="I23" s="76"/>
    </row>
    <row r="24" spans="1:9" x14ac:dyDescent="0.25">
      <c r="A24" s="37" t="s">
        <v>202</v>
      </c>
      <c r="B24" s="42" t="s">
        <v>175</v>
      </c>
      <c r="C24" s="37" t="str">
        <f>CONCATENATE("Update the Synergy project THALER~",H2)</f>
        <v>Update the Synergy project THALER~To here</v>
      </c>
      <c r="D24" s="46"/>
      <c r="E24" s="46"/>
      <c r="F24" s="76"/>
      <c r="G24" s="76"/>
      <c r="H24" s="76"/>
      <c r="I24" s="76"/>
    </row>
    <row r="25" spans="1:9" x14ac:dyDescent="0.25">
      <c r="A25" s="37" t="s">
        <v>202</v>
      </c>
      <c r="B25" s="42" t="s">
        <v>175</v>
      </c>
      <c r="C25" s="37" t="str">
        <f>CONCATENATE("Detect the conflicts of the Synergy project THALER~",H2)</f>
        <v>Detect the conflicts of the Synergy project THALER~To here</v>
      </c>
      <c r="D25" s="46"/>
      <c r="E25" s="46"/>
      <c r="F25" s="76"/>
      <c r="G25" s="76"/>
      <c r="H25" s="76"/>
      <c r="I25" s="76"/>
    </row>
    <row r="26" spans="1:9" x14ac:dyDescent="0.25">
      <c r="A26" s="37" t="s">
        <v>202</v>
      </c>
      <c r="B26" s="42" t="s">
        <v>175</v>
      </c>
      <c r="C26" s="37" t="str">
        <f>CONCATENATE(" Synchronize the Synergy work area of the project THALER~",H2)</f>
        <v xml:space="preserve"> Synchronize the Synergy work area of the project THALER~To here</v>
      </c>
      <c r="D26" s="46"/>
      <c r="E26" s="46"/>
      <c r="F26" s="76"/>
      <c r="G26" s="76"/>
      <c r="H26" s="76"/>
      <c r="I26" s="76"/>
    </row>
    <row r="27" spans="1:9" x14ac:dyDescent="0.25">
      <c r="A27" s="37" t="s">
        <v>202</v>
      </c>
      <c r="B27" s="42" t="s">
        <v>176</v>
      </c>
      <c r="C27" s="37" t="s">
        <v>182</v>
      </c>
      <c r="D27" s="46"/>
      <c r="E27" s="46"/>
      <c r="F27" s="76"/>
      <c r="G27" s="76"/>
      <c r="H27" s="76"/>
      <c r="I27" s="76"/>
    </row>
    <row r="28" spans="1:9" x14ac:dyDescent="0.25">
      <c r="A28" s="37" t="s">
        <v>202</v>
      </c>
      <c r="B28" s="42" t="s">
        <v>177</v>
      </c>
      <c r="C28" s="37" t="s">
        <v>183</v>
      </c>
      <c r="D28" s="46"/>
      <c r="E28" s="46"/>
      <c r="F28" s="76"/>
      <c r="G28" s="76"/>
      <c r="H28" s="76"/>
      <c r="I28" s="76"/>
    </row>
    <row r="29" spans="1:9" x14ac:dyDescent="0.25">
      <c r="A29" s="37" t="s">
        <v>202</v>
      </c>
      <c r="B29" s="42" t="s">
        <v>177</v>
      </c>
      <c r="C29" s="37" t="str">
        <f>CONCATENATE("Execute the 'P' transfers of the TOS ",C11," on the master BES")</f>
        <v>Execute the 'P' transfers of the TOS  on the master BES</v>
      </c>
      <c r="D29" s="46"/>
      <c r="E29" s="46"/>
      <c r="F29" s="76"/>
      <c r="G29" s="76"/>
      <c r="H29" s="76"/>
      <c r="I29" s="76"/>
    </row>
    <row r="30" spans="1:9" x14ac:dyDescent="0.25">
      <c r="A30" s="37" t="s">
        <v>202</v>
      </c>
      <c r="B30" s="42" t="s">
        <v>177</v>
      </c>
      <c r="C30" s="37" t="str">
        <f>CONCATENATE("Detect membership conflicts of the TOS '",C9,"' using the Flattening")</f>
        <v>Detect membership conflicts of the TOS 'PACK-XXX-XXXX' using the Flattening</v>
      </c>
      <c r="D30" s="46"/>
      <c r="E30" s="46"/>
      <c r="F30" s="76"/>
      <c r="G30" s="76"/>
      <c r="H30" s="76"/>
      <c r="I30" s="76"/>
    </row>
    <row r="31" spans="1:9" x14ac:dyDescent="0.25">
      <c r="A31" s="37" t="s">
        <v>202</v>
      </c>
      <c r="B31" s="42" t="s">
        <v>175</v>
      </c>
      <c r="C31" s="37" t="str">
        <f>CONCATENATE("Deploy the Synergy tasks on project THALER~",H2)</f>
        <v>Deploy the Synergy tasks on project THALER~To here</v>
      </c>
      <c r="D31" s="46"/>
      <c r="E31" s="46"/>
      <c r="F31" s="76"/>
      <c r="G31" s="76"/>
      <c r="H31" s="76"/>
      <c r="I31" s="76"/>
    </row>
    <row r="32" spans="1:9" ht="21" customHeight="1" x14ac:dyDescent="0.25">
      <c r="A32" s="37" t="s">
        <v>202</v>
      </c>
      <c r="B32" s="42" t="s">
        <v>176</v>
      </c>
      <c r="C32" s="37" t="str">
        <f>CONCATENATE("Compare all templates before their deployment into the projects of ",H2)</f>
        <v>Compare all templates before their deployment into the projects of To here</v>
      </c>
      <c r="D32" s="46"/>
      <c r="E32" s="46"/>
      <c r="F32" s="76"/>
      <c r="G32" s="76"/>
      <c r="H32" s="76"/>
      <c r="I32" s="76"/>
    </row>
    <row r="33" spans="1:9" x14ac:dyDescent="0.25">
      <c r="A33" s="37" t="s">
        <v>202</v>
      </c>
      <c r="B33" s="42" t="s">
        <v>176</v>
      </c>
      <c r="C33" s="37" t="str">
        <f>CONCATENATE("Deploy the configuration files into the projects of ",H2)</f>
        <v>Deploy the configuration files into the projects of To here</v>
      </c>
      <c r="D33" s="46"/>
      <c r="E33" s="46"/>
      <c r="F33" s="76"/>
      <c r="G33" s="76"/>
      <c r="H33" s="76"/>
      <c r="I33" s="76"/>
    </row>
    <row r="34" spans="1:9" x14ac:dyDescent="0.25">
      <c r="A34" s="37" t="s">
        <v>202</v>
      </c>
      <c r="B34" s="42" t="s">
        <v>177</v>
      </c>
      <c r="C34" s="37" t="str">
        <f>CONCATENATE("Execute the 'P/D' orders of the TOS '",C9,"' on the master BES")</f>
        <v>Execute the 'P/D' orders of the TOS 'PACK-XXX-XXXX' on the master BES</v>
      </c>
      <c r="D34" s="46"/>
      <c r="E34" s="46"/>
      <c r="F34" s="76"/>
      <c r="G34" s="76"/>
      <c r="H34" s="76"/>
      <c r="I34" s="76"/>
    </row>
    <row r="35" spans="1:9" x14ac:dyDescent="0.25">
      <c r="A35" s="37" t="s">
        <v>202</v>
      </c>
      <c r="B35" s="42" t="s">
        <v>177</v>
      </c>
      <c r="C35" s="37" t="str">
        <f>CONCATENATE("Execute the 'H' orders of the TOS '",C9,"' on the master BES")</f>
        <v>Execute the 'H' orders of the TOS 'PACK-XXX-XXXX' on the master BES</v>
      </c>
      <c r="D35" s="46"/>
      <c r="E35" s="46"/>
      <c r="F35" s="76"/>
      <c r="G35" s="76"/>
      <c r="H35" s="76"/>
      <c r="I35" s="76"/>
    </row>
    <row r="36" spans="1:9" x14ac:dyDescent="0.25">
      <c r="A36" s="37" t="s">
        <v>202</v>
      </c>
      <c r="B36" s="42" t="s">
        <v>177</v>
      </c>
      <c r="C36" s="37" t="str">
        <f>CONCATENATE("Execute the 'U/B' orders of the TOS '",C9,"' on the master BES")</f>
        <v>Execute the 'U/B' orders of the TOS 'PACK-XXX-XXXX' on the master BES</v>
      </c>
      <c r="D36" s="46"/>
      <c r="E36" s="46"/>
      <c r="F36" s="76"/>
      <c r="G36" s="76"/>
      <c r="H36" s="76"/>
      <c r="I36" s="76"/>
    </row>
    <row r="37" spans="1:9" x14ac:dyDescent="0.25">
      <c r="A37" s="37" t="s">
        <v>202</v>
      </c>
      <c r="B37" s="42" t="s">
        <v>177</v>
      </c>
      <c r="C37" s="37" t="str">
        <f>CONCATENATE("Execute the 'T/O' orders of the TOS '",C9,"' on the master BES")</f>
        <v>Execute the 'T/O' orders of the TOS 'PACK-XXX-XXXX' on the master BES</v>
      </c>
      <c r="D37" s="46"/>
      <c r="E37" s="46"/>
      <c r="F37" s="76"/>
      <c r="G37" s="76"/>
      <c r="H37" s="76"/>
      <c r="I37" s="76"/>
    </row>
    <row r="38" spans="1:9" x14ac:dyDescent="0.25">
      <c r="A38" s="37" t="s">
        <v>202</v>
      </c>
      <c r="B38" s="42" t="s">
        <v>177</v>
      </c>
      <c r="C38" s="37" t="str">
        <f>CONCATENATE("Execute the 'A' orders of the TOS '",C9,"' on the master BES")</f>
        <v>Execute the 'A' orders of the TOS 'PACK-XXX-XXXX' on the master BES</v>
      </c>
      <c r="D38" s="46"/>
      <c r="E38" s="46"/>
      <c r="F38" s="76"/>
      <c r="G38" s="76"/>
      <c r="H38" s="76"/>
      <c r="I38" s="76"/>
    </row>
    <row r="39" spans="1:9" x14ac:dyDescent="0.25">
      <c r="A39" s="37" t="s">
        <v>202</v>
      </c>
      <c r="B39" s="42" t="s">
        <v>176</v>
      </c>
      <c r="C39" s="37" t="s">
        <v>186</v>
      </c>
      <c r="D39" s="46"/>
      <c r="E39" s="46"/>
      <c r="F39" s="76"/>
      <c r="G39" s="76"/>
      <c r="H39" s="76"/>
      <c r="I39" s="76"/>
    </row>
    <row r="40" spans="1:9" x14ac:dyDescent="0.25">
      <c r="A40" s="37" t="s">
        <v>202</v>
      </c>
      <c r="B40" s="42" t="s">
        <v>178</v>
      </c>
      <c r="C40" s="37" t="str">
        <f>CONCATENATE("Build the V2 environment of ",H2)</f>
        <v>Build the V2 environment of To here</v>
      </c>
      <c r="D40" s="46"/>
      <c r="E40" s="46"/>
      <c r="F40" s="76"/>
      <c r="G40" s="76"/>
      <c r="H40" s="76"/>
      <c r="I40" s="76"/>
    </row>
    <row r="41" spans="1:9" x14ac:dyDescent="0.25">
      <c r="A41" s="37" t="s">
        <v>202</v>
      </c>
      <c r="B41" s="42" t="s">
        <v>177</v>
      </c>
      <c r="C41" s="37" t="str">
        <f>CONCATENATE("Execute the 'C' orders of the TOS '",C9,"' on the master BES")</f>
        <v>Execute the 'C' orders of the TOS 'PACK-XXX-XXXX' on the master BES</v>
      </c>
      <c r="D41" s="46"/>
      <c r="E41" s="46"/>
      <c r="F41" s="76"/>
      <c r="G41" s="76"/>
      <c r="H41" s="76"/>
      <c r="I41" s="76"/>
    </row>
    <row r="42" spans="1:9" x14ac:dyDescent="0.25">
      <c r="A42" s="37" t="s">
        <v>202</v>
      </c>
      <c r="B42" s="42" t="s">
        <v>176</v>
      </c>
      <c r="C42" s="37" t="s">
        <v>187</v>
      </c>
      <c r="D42" s="46"/>
      <c r="E42" s="46"/>
      <c r="F42" s="76"/>
      <c r="G42" s="76"/>
      <c r="H42" s="76"/>
      <c r="I42" s="76"/>
    </row>
    <row r="43" spans="1:9" x14ac:dyDescent="0.25">
      <c r="A43" s="37" t="s">
        <v>202</v>
      </c>
      <c r="B43" s="42" t="s">
        <v>179</v>
      </c>
      <c r="C43" s="37" t="s">
        <v>171</v>
      </c>
      <c r="D43" s="46"/>
      <c r="E43" s="46"/>
      <c r="F43" s="76"/>
      <c r="G43" s="76"/>
      <c r="H43" s="76"/>
      <c r="I43" s="76"/>
    </row>
    <row r="44" spans="1:9" x14ac:dyDescent="0.25">
      <c r="A44" s="37" t="s">
        <v>202</v>
      </c>
      <c r="B44" s="42" t="s">
        <v>179</v>
      </c>
      <c r="C44" s="37" t="s">
        <v>170</v>
      </c>
      <c r="D44" s="46"/>
      <c r="E44" s="46"/>
      <c r="F44" s="76"/>
      <c r="G44" s="76"/>
      <c r="H44" s="76"/>
      <c r="I44" s="76"/>
    </row>
    <row r="45" spans="1:9" x14ac:dyDescent="0.25">
      <c r="G45" s="43"/>
    </row>
  </sheetData>
  <dataConsolidate/>
  <customSheetViews>
    <customSheetView guid="{11DA137D-FA21-4924-8652-5200ADF70677}" showAutoFilter="1">
      <pane ySplit="14" topLeftCell="A15" activePane="bottomLeft" state="frozen"/>
      <selection pane="bottomLeft" activeCell="E4" sqref="E4"/>
      <pageMargins left="0.7" right="0.7" top="0.75" bottom="0.75" header="0.3" footer="0.3"/>
      <pageSetup paperSize="9" orientation="portrait" r:id="rId1"/>
      <autoFilter ref="A14:J36"/>
    </customSheetView>
  </customSheetViews>
  <mergeCells count="37">
    <mergeCell ref="F44:I44"/>
    <mergeCell ref="F39:I39"/>
    <mergeCell ref="F40:I40"/>
    <mergeCell ref="F41:I41"/>
    <mergeCell ref="F42:I42"/>
    <mergeCell ref="F43:I43"/>
    <mergeCell ref="F34:I34"/>
    <mergeCell ref="F35:I35"/>
    <mergeCell ref="F36:I36"/>
    <mergeCell ref="F37:I37"/>
    <mergeCell ref="F38:I38"/>
    <mergeCell ref="F29:I29"/>
    <mergeCell ref="F30:I30"/>
    <mergeCell ref="F31:I31"/>
    <mergeCell ref="F32:I32"/>
    <mergeCell ref="F33:I33"/>
    <mergeCell ref="F24:I24"/>
    <mergeCell ref="F25:I25"/>
    <mergeCell ref="F26:I26"/>
    <mergeCell ref="F27:I27"/>
    <mergeCell ref="F28:I28"/>
    <mergeCell ref="F19:I19"/>
    <mergeCell ref="F20:I20"/>
    <mergeCell ref="F21:I21"/>
    <mergeCell ref="F22:I22"/>
    <mergeCell ref="F23:I23"/>
    <mergeCell ref="F14:I14"/>
    <mergeCell ref="F15:I15"/>
    <mergeCell ref="F16:I16"/>
    <mergeCell ref="F17:I17"/>
    <mergeCell ref="F18:I18"/>
    <mergeCell ref="A13:I13"/>
    <mergeCell ref="A2:B2"/>
    <mergeCell ref="A7:B7"/>
    <mergeCell ref="A9:B9"/>
    <mergeCell ref="A11:B11"/>
    <mergeCell ref="A4:B4"/>
  </mergeCells>
  <conditionalFormatting sqref="E16:E17 D15:F15 F16:F44">
    <cfRule type="expression" dxfId="329" priority="573">
      <formula>$D15="[ Bypassed ]"</formula>
    </cfRule>
    <cfRule type="expression" dxfId="328" priority="574">
      <formula>$D15="[ Done         ]"</formula>
    </cfRule>
    <cfRule type="expression" dxfId="327" priority="575">
      <formula>$D15="[ Pending… ]"</formula>
    </cfRule>
    <cfRule type="expression" dxfId="326" priority="576">
      <formula>$D15="[ To do        ]"</formula>
    </cfRule>
  </conditionalFormatting>
  <conditionalFormatting sqref="E19">
    <cfRule type="expression" dxfId="325" priority="501">
      <formula>$D19="[ Bypassed ]"</formula>
    </cfRule>
    <cfRule type="expression" dxfId="324" priority="502">
      <formula>$D19="[ Done         ]"</formula>
    </cfRule>
    <cfRule type="expression" dxfId="323" priority="503">
      <formula>$D19="[ Pending… ]"</formula>
    </cfRule>
    <cfRule type="expression" dxfId="322" priority="504">
      <formula>$D19="[ To do        ]"</formula>
    </cfRule>
  </conditionalFormatting>
  <conditionalFormatting sqref="E20">
    <cfRule type="expression" dxfId="321" priority="497">
      <formula>$D20="[ Bypassed ]"</formula>
    </cfRule>
    <cfRule type="expression" dxfId="320" priority="498">
      <formula>$D20="[ Done         ]"</formula>
    </cfRule>
    <cfRule type="expression" dxfId="319" priority="499">
      <formula>$D20="[ Pending… ]"</formula>
    </cfRule>
    <cfRule type="expression" dxfId="318" priority="500">
      <formula>$D20="[ To do        ]"</formula>
    </cfRule>
  </conditionalFormatting>
  <conditionalFormatting sqref="E39">
    <cfRule type="expression" dxfId="317" priority="473">
      <formula>$D39="[ Bypassed ]"</formula>
    </cfRule>
    <cfRule type="expression" dxfId="316" priority="474">
      <formula>$D39="[ Done         ]"</formula>
    </cfRule>
    <cfRule type="expression" dxfId="315" priority="475">
      <formula>$D39="[ Pending… ]"</formula>
    </cfRule>
    <cfRule type="expression" dxfId="314" priority="476">
      <formula>$D39="[ To do        ]"</formula>
    </cfRule>
  </conditionalFormatting>
  <conditionalFormatting sqref="E40">
    <cfRule type="expression" dxfId="313" priority="449">
      <formula>$D40="[ Bypassed ]"</formula>
    </cfRule>
    <cfRule type="expression" dxfId="312" priority="450">
      <formula>$D40="[ Done         ]"</formula>
    </cfRule>
    <cfRule type="expression" dxfId="311" priority="451">
      <formula>$D40="[ Pending… ]"</formula>
    </cfRule>
    <cfRule type="expression" dxfId="310" priority="452">
      <formula>$D40="[ To do        ]"</formula>
    </cfRule>
  </conditionalFormatting>
  <conditionalFormatting sqref="D15:D17 D20:D21 D23:E26 D23:D29 D34:E35 D34:D44">
    <cfRule type="expression" dxfId="309" priority="333">
      <formula>$D15="[ Bypassed ]"</formula>
    </cfRule>
    <cfRule type="expression" dxfId="308" priority="334">
      <formula>$D15="[ Done         ]"</formula>
    </cfRule>
    <cfRule type="expression" dxfId="307" priority="335">
      <formula>$D15="[ Pending… ]"</formula>
    </cfRule>
    <cfRule type="expression" dxfId="306" priority="336">
      <formula>$D15="[ To do        ]"</formula>
    </cfRule>
  </conditionalFormatting>
  <conditionalFormatting sqref="D40">
    <cfRule type="expression" dxfId="305" priority="321">
      <formula>$D40="[ Bypassed ]"</formula>
    </cfRule>
    <cfRule type="expression" dxfId="304" priority="322">
      <formula>$D40="[ Done         ]"</formula>
    </cfRule>
    <cfRule type="expression" dxfId="303" priority="323">
      <formula>$D40="[ Pending… ]"</formula>
    </cfRule>
    <cfRule type="expression" dxfId="302" priority="324">
      <formula>$D40="[ To do        ]"</formula>
    </cfRule>
  </conditionalFormatting>
  <conditionalFormatting sqref="D19">
    <cfRule type="expression" dxfId="301" priority="197">
      <formula>$D19="[ Bypassed ]"</formula>
    </cfRule>
    <cfRule type="expression" dxfId="300" priority="198">
      <formula>$D19="[ Done         ]"</formula>
    </cfRule>
    <cfRule type="expression" dxfId="299" priority="199">
      <formula>$D19="[ Pending… ]"</formula>
    </cfRule>
    <cfRule type="expression" dxfId="298" priority="200">
      <formula>$D19="[ To do        ]"</formula>
    </cfRule>
  </conditionalFormatting>
  <conditionalFormatting sqref="E19">
    <cfRule type="expression" dxfId="297" priority="193">
      <formula>$D19="[ Bypassed ]"</formula>
    </cfRule>
    <cfRule type="expression" dxfId="296" priority="194">
      <formula>$D19="[ Done         ]"</formula>
    </cfRule>
    <cfRule type="expression" dxfId="295" priority="195">
      <formula>$D19="[ Pending… ]"</formula>
    </cfRule>
    <cfRule type="expression" dxfId="294" priority="196">
      <formula>$D19="[ To do        ]"</formula>
    </cfRule>
  </conditionalFormatting>
  <conditionalFormatting sqref="D18:E18">
    <cfRule type="expression" dxfId="293" priority="181">
      <formula>$D18="[ Bypassed ]"</formula>
    </cfRule>
    <cfRule type="expression" dxfId="292" priority="182">
      <formula>$D18="[ Done         ]"</formula>
    </cfRule>
    <cfRule type="expression" dxfId="291" priority="183">
      <formula>$D18="[ Pending… ]"</formula>
    </cfRule>
    <cfRule type="expression" dxfId="290" priority="184">
      <formula>$D18="[ To do        ]"</formula>
    </cfRule>
  </conditionalFormatting>
  <conditionalFormatting sqref="E21">
    <cfRule type="expression" dxfId="289" priority="169">
      <formula>$D21="[ Bypassed ]"</formula>
    </cfRule>
    <cfRule type="expression" dxfId="288" priority="170">
      <formula>$D21="[ Done         ]"</formula>
    </cfRule>
    <cfRule type="expression" dxfId="287" priority="171">
      <formula>$D21="[ Pending… ]"</formula>
    </cfRule>
    <cfRule type="expression" dxfId="286" priority="172">
      <formula>$D21="[ To do        ]"</formula>
    </cfRule>
  </conditionalFormatting>
  <conditionalFormatting sqref="D22">
    <cfRule type="expression" dxfId="285" priority="157">
      <formula>$D22="[ Bypassed ]"</formula>
    </cfRule>
    <cfRule type="expression" dxfId="284" priority="158">
      <formula>$D22="[ Done         ]"</formula>
    </cfRule>
    <cfRule type="expression" dxfId="283" priority="159">
      <formula>$D22="[ Pending… ]"</formula>
    </cfRule>
    <cfRule type="expression" dxfId="282" priority="160">
      <formula>$D22="[ To do        ]"</formula>
    </cfRule>
  </conditionalFormatting>
  <conditionalFormatting sqref="E22">
    <cfRule type="expression" dxfId="281" priority="145">
      <formula>$D22="[ Bypassed ]"</formula>
    </cfRule>
    <cfRule type="expression" dxfId="280" priority="146">
      <formula>$D22="[ Done         ]"</formula>
    </cfRule>
    <cfRule type="expression" dxfId="279" priority="147">
      <formula>$D22="[ Pending… ]"</formula>
    </cfRule>
    <cfRule type="expression" dxfId="278" priority="148">
      <formula>$D22="[ To do        ]"</formula>
    </cfRule>
  </conditionalFormatting>
  <conditionalFormatting sqref="E27:E28">
    <cfRule type="expression" dxfId="277" priority="133">
      <formula>$D27="[ Bypassed ]"</formula>
    </cfRule>
    <cfRule type="expression" dxfId="276" priority="134">
      <formula>$D27="[ Done         ]"</formula>
    </cfRule>
    <cfRule type="expression" dxfId="275" priority="135">
      <formula>$D27="[ Pending… ]"</formula>
    </cfRule>
    <cfRule type="expression" dxfId="274" priority="136">
      <formula>$D27="[ To do        ]"</formula>
    </cfRule>
  </conditionalFormatting>
  <conditionalFormatting sqref="D31">
    <cfRule type="expression" dxfId="273" priority="121">
      <formula>$D31="[ Bypassed ]"</formula>
    </cfRule>
    <cfRule type="expression" dxfId="272" priority="122">
      <formula>$D31="[ Done         ]"</formula>
    </cfRule>
    <cfRule type="expression" dxfId="271" priority="123">
      <formula>$D31="[ Pending… ]"</formula>
    </cfRule>
    <cfRule type="expression" dxfId="270" priority="124">
      <formula>$D31="[ To do        ]"</formula>
    </cfRule>
  </conditionalFormatting>
  <conditionalFormatting sqref="E31">
    <cfRule type="expression" dxfId="269" priority="109">
      <formula>$D31="[ Bypassed ]"</formula>
    </cfRule>
    <cfRule type="expression" dxfId="268" priority="110">
      <formula>$D31="[ Done         ]"</formula>
    </cfRule>
    <cfRule type="expression" dxfId="267" priority="111">
      <formula>$D31="[ Pending… ]"</formula>
    </cfRule>
    <cfRule type="expression" dxfId="266" priority="112">
      <formula>$D31="[ To do        ]"</formula>
    </cfRule>
  </conditionalFormatting>
  <conditionalFormatting sqref="D32">
    <cfRule type="expression" dxfId="265" priority="97">
      <formula>$D32="[ Bypassed ]"</formula>
    </cfRule>
    <cfRule type="expression" dxfId="264" priority="98">
      <formula>$D32="[ Done         ]"</formula>
    </cfRule>
    <cfRule type="expression" dxfId="263" priority="99">
      <formula>$D32="[ Pending… ]"</formula>
    </cfRule>
    <cfRule type="expression" dxfId="262" priority="100">
      <formula>$D32="[ To do        ]"</formula>
    </cfRule>
  </conditionalFormatting>
  <conditionalFormatting sqref="E32">
    <cfRule type="expression" dxfId="261" priority="85">
      <formula>$D32="[ Bypassed ]"</formula>
    </cfRule>
    <cfRule type="expression" dxfId="260" priority="86">
      <formula>$D32="[ Done         ]"</formula>
    </cfRule>
    <cfRule type="expression" dxfId="259" priority="87">
      <formula>$D32="[ Pending… ]"</formula>
    </cfRule>
    <cfRule type="expression" dxfId="258" priority="88">
      <formula>$D32="[ To do        ]"</formula>
    </cfRule>
  </conditionalFormatting>
  <conditionalFormatting sqref="D33">
    <cfRule type="expression" dxfId="257" priority="73">
      <formula>$D33="[ Bypassed ]"</formula>
    </cfRule>
    <cfRule type="expression" dxfId="256" priority="74">
      <formula>$D33="[ Done         ]"</formula>
    </cfRule>
    <cfRule type="expression" dxfId="255" priority="75">
      <formula>$D33="[ Pending… ]"</formula>
    </cfRule>
    <cfRule type="expression" dxfId="254" priority="76">
      <formula>$D33="[ To do        ]"</formula>
    </cfRule>
  </conditionalFormatting>
  <conditionalFormatting sqref="E33">
    <cfRule type="expression" dxfId="253" priority="61">
      <formula>$D33="[ Bypassed ]"</formula>
    </cfRule>
    <cfRule type="expression" dxfId="252" priority="62">
      <formula>$D33="[ Done         ]"</formula>
    </cfRule>
    <cfRule type="expression" dxfId="251" priority="63">
      <formula>$D33="[ Pending… ]"</formula>
    </cfRule>
    <cfRule type="expression" dxfId="250" priority="64">
      <formula>$D33="[ To do        ]"</formula>
    </cfRule>
  </conditionalFormatting>
  <conditionalFormatting sqref="D41:E42">
    <cfRule type="expression" dxfId="249" priority="45">
      <formula>$D41="[ Bypassed ]"</formula>
    </cfRule>
    <cfRule type="expression" dxfId="248" priority="46">
      <formula>$D41="[ Done         ]"</formula>
    </cfRule>
    <cfRule type="expression" dxfId="247" priority="47">
      <formula>$D41="[ Pending… ]"</formula>
    </cfRule>
    <cfRule type="expression" dxfId="246" priority="48">
      <formula>$D41="[ To do        ]"</formula>
    </cfRule>
  </conditionalFormatting>
  <conditionalFormatting sqref="D43:D44">
    <cfRule type="expression" dxfId="245" priority="37">
      <formula>$D43="[ Bypassed ]"</formula>
    </cfRule>
    <cfRule type="expression" dxfId="244" priority="38">
      <formula>$D43="[ Done         ]"</formula>
    </cfRule>
    <cfRule type="expression" dxfId="243" priority="39">
      <formula>$D43="[ Pending… ]"</formula>
    </cfRule>
    <cfRule type="expression" dxfId="242" priority="40">
      <formula>$D43="[ To do        ]"</formula>
    </cfRule>
  </conditionalFormatting>
  <conditionalFormatting sqref="E43">
    <cfRule type="expression" dxfId="241" priority="29">
      <formula>$D43="[ Bypassed ]"</formula>
    </cfRule>
    <cfRule type="expression" dxfId="240" priority="30">
      <formula>$D43="[ Done         ]"</formula>
    </cfRule>
    <cfRule type="expression" dxfId="239" priority="31">
      <formula>$D43="[ Pending… ]"</formula>
    </cfRule>
    <cfRule type="expression" dxfId="238" priority="32">
      <formula>$D43="[ To do        ]"</formula>
    </cfRule>
  </conditionalFormatting>
  <conditionalFormatting sqref="E44">
    <cfRule type="expression" dxfId="237" priority="21">
      <formula>$D44="[ Bypassed ]"</formula>
    </cfRule>
    <cfRule type="expression" dxfId="236" priority="22">
      <formula>$D44="[ Done         ]"</formula>
    </cfRule>
    <cfRule type="expression" dxfId="235" priority="23">
      <formula>$D44="[ Pending… ]"</formula>
    </cfRule>
    <cfRule type="expression" dxfId="234" priority="24">
      <formula>$D44="[ To do        ]"</formula>
    </cfRule>
  </conditionalFormatting>
  <dataValidations count="1">
    <dataValidation type="date" allowBlank="1" showInputMessage="1" showErrorMessage="1" sqref="H7 F7 C10 C3:C6">
      <formula1>40817</formula1>
      <formula2>77341</formula2>
    </dataValidation>
  </dataValidations>
  <hyperlinks>
    <hyperlink ref="C15" location="'List of patches'!A1" display="Making list of patches"/>
    <hyperlink ref="C17" location="'pk_check_package before'!A1" display="Check packaging on source environment"/>
  </hyperlinks>
  <pageMargins left="0.7" right="0.7" top="0.75" bottom="0.75" header="0.3" footer="0.3"/>
  <pageSetup paperSize="9" orientation="portrait" r:id="rId2"/>
  <legacyDrawing r:id="rId3"/>
  <extLst>
    <ext uri="{78C0D931-6437-407d-A8EE-F0AAD7539E65}">
      <x14:conditionalFormattings>
        <x14:conditionalFormatting xmlns:xm="http://schemas.microsoft.com/office/excel/2006/main">
          <x14:cfRule type="expression" priority="704" id="{9F02B9F1-BEB0-4541-A274-AC0917F13548}">
            <xm:f>$F$4=myStatus!$A$4</xm:f>
            <x14:dxf>
              <fill>
                <patternFill>
                  <bgColor theme="9"/>
                </patternFill>
              </fill>
            </x14:dxf>
          </x14:cfRule>
          <x14:cfRule type="expression" priority="705" id="{C86C9643-DD50-4CDB-A88F-64FD2F55BE67}">
            <xm:f>$F$4=myStatus!$A$3</xm:f>
            <x14:dxf>
              <fill>
                <patternFill patternType="solid">
                  <bgColor rgb="FFFF6969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44" id="{E31C447E-E2BB-452F-A3FE-818FC5C850ED}">
            <xm:f>$F$4=myStatus!$A$5</xm:f>
            <x14:dxf>
              <fill>
                <patternFill>
                  <bgColor rgb="FF92D050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68" id="{8E4164EA-9C8C-4700-A48D-66612CBC86F5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69" id="{A4EAADDC-F20B-452B-BDE3-29C042273B88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0" id="{14961E2F-0674-47E4-9D53-DE77F34694AF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1" id="{43ECBE15-FB3B-42CD-9ED4-DD337D517360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B41 C42 C17 B19:C40 B16:C16 E16:E17 A15:F15 E19:E20 E23:E26 E34:E40 E29:E30 D41:E42 C43:E44 F16:F44</xm:sqref>
        </x14:conditionalFormatting>
        <x14:conditionalFormatting xmlns:xm="http://schemas.microsoft.com/office/excel/2006/main">
          <x14:cfRule type="expression" priority="577" id="{30EE5342-FC00-470E-B484-A531D86AC4EF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05C2B866-AA71-4213-8914-13B4276933C7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9" id="{40E7FA39-A45B-45E1-90AB-5DB724A6515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0" id="{A87E1C80-2CEF-4A1A-9B5C-302FF5F31AF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E40 C16:C17 E16:E17 C15:F15 E19:E20 E23:E26 E34:E38 E29:E30 F16:F44</xm:sqref>
        </x14:conditionalFormatting>
        <x14:conditionalFormatting xmlns:xm="http://schemas.microsoft.com/office/excel/2006/main">
          <x14:cfRule type="expression" priority="517" id="{39C14331-7C3F-4CC5-9079-0F9B94987BA6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8" id="{7819EE04-0CC8-40B8-BA65-6BD9EF42A3EC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9" id="{04DE7090-E0B6-4361-97F0-38A99266CEE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0" id="{63A01692-6002-4140-B972-44BB50B5C705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C22:C38</xm:sqref>
        </x14:conditionalFormatting>
        <x14:conditionalFormatting xmlns:xm="http://schemas.microsoft.com/office/excel/2006/main">
          <x14:cfRule type="expression" priority="513" id="{B824B496-39A0-4BDA-9423-012E7122F14B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4" id="{72473607-CC77-4B91-BC84-447923F29361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5" id="{98321E8E-08E6-4795-8B18-EFA46C60CED8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6" id="{684CDB4F-1EC8-458D-BB91-6C59C634C961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C19:C21 E39</xm:sqref>
        </x14:conditionalFormatting>
        <x14:conditionalFormatting xmlns:xm="http://schemas.microsoft.com/office/excel/2006/main">
          <x14:cfRule type="expression" priority="461" id="{82DB31DE-CBD9-41F1-B5A6-B5F093F98794}">
            <xm:f>$A39='\Users\gletellier\Documents\201401\17.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2" id="{DC5600F0-5667-4FE9-81B3-12A0E0C242F9}">
            <xm:f>$A39='\Users\gletellier\Documents\201401\17.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3" id="{9D2A9D42-3E81-4741-AE32-ED194E44ED41}">
            <xm:f>$A39='\Users\gletellier\Documents\201401\17.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4" id="{794D6D6E-0B08-43B3-B351-D148217CB4D4}">
            <xm:f>$A39='\Users\gletellier\Documents\201401\17.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C39</xm:sqref>
        </x14:conditionalFormatting>
        <x14:conditionalFormatting xmlns:xm="http://schemas.microsoft.com/office/excel/2006/main">
          <x14:cfRule type="expression" priority="457" id="{B41E5851-3196-48BA-9B96-FA0723E4EBEC}">
            <xm:f>$A43=myStatus!$A$6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8" id="{AFCBA421-A01B-4B4A-9B61-C32CEA06E002}">
            <xm:f>$A43=myStatus!$A$5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9" id="{170A8D81-A2B9-422C-8231-28B6435E4184}">
            <xm:f>$A43=myStatus!$A$4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0" id="{E26CF22A-1248-4BF3-9702-54F7490A22E9}">
            <xm:f>$A43=myStatus!$A$3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B43:B44</xm:sqref>
        </x14:conditionalFormatting>
        <x14:conditionalFormatting xmlns:xm="http://schemas.microsoft.com/office/excel/2006/main">
          <x14:cfRule type="expression" priority="437" id="{5DC9204B-93B3-45F1-AF2A-1372A7D30A9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8" id="{AF02E9BC-C215-4E16-AAAE-44BE4DC8BD0B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9" id="{95287C05-2199-4F82-B18C-07682C9BD72C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0" id="{EDB9C513-C79E-4C2D-8020-CC4849D4F849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C40</xm:sqref>
        </x14:conditionalFormatting>
        <x14:conditionalFormatting xmlns:xm="http://schemas.microsoft.com/office/excel/2006/main">
          <x14:cfRule type="expression" priority="373" id="{F106BE2F-D80C-4223-9593-29ADA62084BE}">
            <xm:f>$A17=myStatus!$A$6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4" id="{C841F586-E613-4BA3-B563-BA8135BB593B}">
            <xm:f>$A17=myStatus!$A$5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5" id="{F78BD184-3126-4AE1-B98B-405C865A4AF2}">
            <xm:f>$A17=myStatus!$A$4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6" id="{04B347C3-B342-4712-97E6-D451CC509763}">
            <xm:f>$A17=myStatus!$A$3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B17</xm:sqref>
        </x14:conditionalFormatting>
        <x14:conditionalFormatting xmlns:xm="http://schemas.microsoft.com/office/excel/2006/main">
          <x14:cfRule type="expression" priority="365" id="{F3332626-809B-4DFD-89D2-0FDD2F363E2A}">
            <xm:f>$A42=myStatus!$A$6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6" id="{63F7C3EF-1348-47EA-A680-D9CD7BB2FFD2}">
            <xm:f>$A42=myStatus!$A$5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7" id="{E9D2A332-AE32-4527-BB02-E90639D96DD5}">
            <xm:f>$A42=myStatus!$A$4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8" id="{88CC5AE6-2D2C-4A5D-A2AA-0444C544659E}">
            <xm:f>$A42=myStatus!$A$3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B42</xm:sqref>
        </x14:conditionalFormatting>
        <x14:conditionalFormatting xmlns:xm="http://schemas.microsoft.com/office/excel/2006/main">
          <x14:cfRule type="expression" priority="361" id="{E57E84E9-B0CD-4D6F-9BDE-FEB3740C3FA3}">
            <xm:f>$A41=myStatus!$A$6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2" id="{EAE03709-B0E0-42D3-B405-C28636626CCA}">
            <xm:f>$A41=myStatus!$A$5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3" id="{7FD64FE7-59C6-426C-8B1E-F56C30C9D06B}">
            <xm:f>$A41=myStatus!$A$4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4" id="{C56E6013-0B0B-47CD-8C8A-40499AB8FB0C}">
            <xm:f>$A41=myStatus!$A$3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57" id="{14D22C57-40A8-408F-A4E2-1DA0737F9F8D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8" id="{A6E98557-EC4B-4629-A5F2-684829709163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9" id="{AFEDFEA1-1DC0-4532-988C-0DD8CB7A2AD0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0" id="{FFD1689A-F30A-4089-B041-2F8537AD9DE5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41" id="{7DCF7069-3E1A-4689-8D64-FE2F02F5FA89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2" id="{0141A816-AFD3-4E96-B0DB-CFE506F00E3E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3" id="{1D28B13E-82C8-4E42-8D36-D6257B969BA9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4" id="{E7B712F1-1083-4015-83EF-A97D6E5D8498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37" id="{C739D071-B6EB-47C1-960B-AECAC2286603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8" id="{FBC88B15-38CD-4132-A493-0F8425E578CB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9" id="{AF70B980-73CA-4CA2-A93F-978BE354E93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0" id="{28A432FE-F836-48ED-B46E-BCBFAA67746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29" id="{311EC4EB-6CA8-49ED-8C4D-BFEF4DE5ADDA}">
            <xm:f>$A40=myStatus!$A$6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0" id="{44216C3A-FB03-41B9-9215-922E9CD88773}">
            <xm:f>$A40=myStatus!$A$5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1" id="{A730B353-FAF9-4FCC-8FD5-C05ACE5123E6}">
            <xm:f>$A40=myStatus!$A$4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2" id="{80D53C61-A013-41C9-A883-DAD4778C7CBE}">
            <xm:f>$A40=myStatus!$A$3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325" id="{7C7FBF57-0210-4F77-A90E-5B5C1A81E0E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6" id="{5DA97FF1-6A2B-47D5-9C3A-14C5579C7AA4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7" id="{16D7305A-008B-49B3-B778-0C83C0BEDDEB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8" id="{6BA00AFD-73D1-4CB0-BEC0-47FC2F73BC14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241" id="{AD89E0BB-872C-4892-AA97-D75309950D5C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2" id="{65D0D217-65EE-4DE5-AAF9-D52C171515B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3" id="{02D279A3-8994-4A35-9B08-2E412B14B730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4" id="{BE20D574-2359-48AA-A17C-C719AA5B0D97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B18:C18</xm:sqref>
        </x14:conditionalFormatting>
        <x14:conditionalFormatting xmlns:xm="http://schemas.microsoft.com/office/excel/2006/main">
          <x14:cfRule type="expression" priority="205" id="{4F0F2475-CA4D-498F-A203-2EB0A2AD745D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6" id="{75C47D1C-1DFE-43C4-BED3-69026EB6656F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7" id="{33C6F1F8-5E3C-47BA-BE6A-0A7F437DF069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8" id="{EA6002E9-FE1D-4C27-8E36-1EFF08A1E6E8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201" id="{E5F5601C-73AF-4260-A84C-C30C0666C13D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2" id="{58D6E660-1BE4-4405-AAF6-1625847D37AF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3" id="{2B530885-C012-404A-99CE-4F508A69490D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4" id="{60BCBAE9-F404-44E7-B21C-5BADAC6071AA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189" id="{3094B48D-E08D-496F-A426-B879CA8A92C9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0" id="{E49E74CD-8D54-4662-996F-5F3B13B9A16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1" id="{AA46F625-6474-4B91-A2EF-D4F24A4E2AE4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2" id="{6F79D012-1792-4A79-AF6C-AB2CE89452E3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85" id="{B6CBD616-4434-4BA7-A867-B019D7938122}">
            <xm:f>$A18='\Users\gletellier\Documents\201401\17.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6" id="{9E7331DF-F451-4C99-911B-5A0979770ED2}">
            <xm:f>$A18='\Users\gletellier\Documents\201401\17.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7" id="{67A2D079-05A7-43FC-8F84-38ED6E987D23}">
            <xm:f>$A18='\Users\gletellier\Documents\201401\17.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8" id="{63D10CA9-8F56-4445-82C9-973BA3222EDE}">
            <xm:f>$A18='\Users\gletellier\Documents\201401\17.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77" id="{E3940BF1-F86C-417A-B00A-AD2A9BD4A98D}">
            <xm:f>$A21=myStatus!$A$6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8" id="{5004513D-59E6-4623-8ADA-1FFE516D4A0C}">
            <xm:f>$A21=myStatus!$A$5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9" id="{71203CD5-D375-4842-AE51-DDFE5DDBB263}">
            <xm:f>$A21=myStatus!$A$4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0" id="{3DABB416-4306-45A8-809D-B52B5AA73DCF}">
            <xm:f>$A21=myStatus!$A$3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73" id="{7488AFBA-6329-4EFF-97CF-881159409F5B}">
            <xm:f>$A21='\Users\gletellier\Documents\201401\17.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4" id="{87C64BED-C251-4FE8-A181-15082C7DC7FF}">
            <xm:f>$A21='\Users\gletellier\Documents\201401\17.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5" id="{E9C8C6BE-F9E7-4264-BD07-AE725F1BB520}">
            <xm:f>$A21='\Users\gletellier\Documents\201401\17.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6" id="{AE49170D-D321-42E8-9AE6-7CD547A80FC1}">
            <xm:f>$A21='\Users\gletellier\Documents\201401\17.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65" id="{310B1CC6-9963-4B0C-9161-C2BFC06DC7D2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6" id="{010BB31B-BF05-4491-8089-81FFCC0C079A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7" id="{470F6089-2F65-4479-B96C-65EB590872B7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8" id="{59823B98-9C0D-4F5B-826E-CF9C30748C22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61" id="{3AE9EA2B-3A71-4B9F-AC62-CA0641B092D9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2" id="{A94AA1F8-05AD-4EA1-82BA-99289137D8F6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3" id="{9F7B06A1-EE0F-4CF3-BFF4-82E528F3E557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4" id="{B6ABC2EC-C758-4DD0-8EDA-9E6C6105D1B7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53" id="{04B95AB2-C1A9-4DAD-B0E6-1DE9E7875A1E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4" id="{F4F30328-2A8D-4B53-9D38-B876DB94E290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5" id="{A26E003A-DA80-44A6-9686-4014693E0F24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6" id="{4417B281-ABA0-4AC3-AC70-2531F6BFE2F8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9" id="{9D6EF5BB-24B7-42C5-84E2-6327D9737DF0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0" id="{4E736E25-AADD-411C-BB42-4E6BA839B6CA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1" id="{F23BD032-23EF-4016-8985-3BC12B32798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2" id="{EB6D3987-465F-4B07-9349-708439A167CE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1" id="{060EB503-3617-485B-8F8A-987E44B82C5F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2" id="{1C75A10C-BB4A-4762-A1F4-02B4FD78683B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3" id="{A7E87A9E-C899-4819-8442-D5924346A521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4" id="{3117EC15-3B0E-4B03-AA2A-37CFF0310276}">
            <xm:f>$A27=myStatus!$A$3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37" id="{31CF01F2-8EAD-4EA9-9034-819EB1BCF64D}">
            <xm:f>$A27='\Users\gletellier\Documents\201401\17.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8" id="{7371679C-3CC7-43A9-B3F9-05A9423FECE1}">
            <xm:f>$A27='\Users\gletellier\Documents\201401\17.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9" id="{E8D491D8-5EAC-440F-8031-842BB6730146}">
            <xm:f>$A27='\Users\gletellier\Documents\201401\17.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1E3C79BB-69F6-42EF-926B-510929D09EE8}">
            <xm:f>$A27='\Users\gletellier\Documents\201401\17.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29" id="{C6C089CB-746D-49C9-830D-1E9BAB458138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0" id="{ADFA357A-73FC-4139-A685-5F26FAB0CD3F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1" id="{93459D11-E807-4D53-AE51-1026DC32B335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2" id="{AABF3BE3-0C68-40D1-B82C-8B2A621D3551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25" id="{EF84E1BE-1F87-43C2-8DFC-719963B01A1E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6" id="{2CEB3633-D894-4878-B620-30180BFF0D7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7" id="{9BFB14E1-F594-41A0-A407-19F75D06AF7F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8" id="{77EB4E54-E80C-4E34-B79B-8E3CAC4DABBD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17" id="{24899FFA-E747-4ED8-B9C7-BF0C224D3EC5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8" id="{BB61B6A3-DB35-4186-96E6-366C6B9649DE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9" id="{10CDCC04-6ED1-4DB0-B103-746B63ED9AAB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0" id="{D7654253-AE04-4BAA-B322-7E07A0820DB7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13" id="{A5CBCC5B-0C4D-4664-8102-487F5E4EA310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4" id="{6A3CFF2A-52EA-4F3E-9484-AE923C56255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5" id="{18724B43-040F-4F95-9EC9-41762B2B371C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6" id="{13C201E9-BCEE-451E-92D0-BCBE23560DD3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05" id="{E94B1DCE-0E80-4964-8895-CB19D35DA46C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6" id="{CFDF94E9-105B-4A15-9BB7-5772BE9492E8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7" id="{EAD51430-F64C-4F60-BB8D-CA76757CEA70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8" id="{A16D2B24-7C21-4C75-A818-9A8D5B0280D6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101" id="{9BBC0DE4-7645-453E-A7DE-0744D18B942B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2" id="{7DF94640-4871-4053-ACA5-3D3435A8E1F3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3" id="{53801371-3106-49D0-85FC-FD26E7E96A89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4" id="{DEB1CE2F-B8A6-472B-A5D7-D86FB18BCD6E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93" id="{5C4759C2-687D-448E-B27A-8BBBCAD3BCC5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4" id="{868C9FCB-FB44-4717-ABB7-B39DA2889377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5" id="{8251B1C6-5738-453F-9DA7-D8E7316D861A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6" id="{9511EF32-D301-439C-9612-B672895B661C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9" id="{1181ACEB-B96B-4252-813C-B997B222F41D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0" id="{7B351817-F8CB-4709-B195-C80E26534109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1" id="{9D32813F-C5DC-49C2-A2EA-A404EA439878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2" id="{33C691AC-BD54-46BE-8CE1-C3A800D9EA04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1" id="{C1304B09-A18A-4004-B1B4-C82B5623B657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2" id="{6FC00C34-8E0C-47EF-92D0-E44128F27A50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3" id="{892614C6-65D2-4E7D-A69E-765FFE9B4E00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4" id="{F4D07FB0-AE92-44ED-8957-3A73110030F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77" id="{27DFC92D-442F-49AE-B669-33AC6C394022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8" id="{016AD071-CC17-4AA9-82C5-A4F27AAB8342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9" id="{1DAE925D-F48D-43DC-AE96-006EBC122329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0" id="{4E57162F-8BA4-4BCF-B249-35FAF027AF15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69" id="{37C4C67D-633A-4205-B797-496957D86A49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0" id="{2C24E747-9774-4B5D-A1F7-3DC734F38685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1" id="{3516C113-C2EA-4053-A2E1-94D479A1CD1A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2" id="{EE5A40D6-3EFD-4FC6-8D66-0C693B2F9AA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65" id="{D83B4D24-E0D6-4537-88B0-A6405ECF19D6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6" id="{842586FF-D88B-4D71-9C65-B7AB6CDF3F0C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7" id="{0A02CC8F-6AE9-4927-97EF-C4CA7D74342A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8" id="{5A9A0C4F-B8DB-4066-8D54-0C140BFABAC9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57" id="{0066272B-3638-41A7-B4B4-19BDB3C07D9C}">
            <xm:f>$A30=myStatus!$A$6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" id="{801D4A9D-C972-498A-B17B-AE4AC7D6A413}">
            <xm:f>$A30=myStatus!$A$5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9" id="{E43F8F22-F53E-4C4B-8083-39F3C7ACAE7D}">
            <xm:f>$A30=myStatus!$A$4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0" id="{11E5A5FE-1824-475C-959B-CCBFA77439AB}">
            <xm:f>$A30=myStatus!$A$3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53" id="{A6987D24-3D7B-4DAD-A852-B5945C7F7E23}">
            <xm:f>$A30='\Users\gletellier\Documents\201401\17.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4" id="{A65461CE-B460-4191-8612-318F2DB64AFF}">
            <xm:f>$A30='\Users\gletellier\Documents\201401\17.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5" id="{109CB120-5C03-43E8-BAC8-67C298CCF258}">
            <xm:f>$A30='\Users\gletellier\Documents\201401\17.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6" id="{BCDD2C0B-2D83-4652-835B-40E9031CD4A4}">
            <xm:f>$A30='\Users\gletellier\Documents\201401\17.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49" id="{142C8980-DD55-492A-9AAB-E85D563C6331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0" id="{E7661213-0552-44A1-A772-D36D7A5CB697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" id="{6E0AD43F-B8C4-4C28-8FA3-B9A3CE7870E7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" id="{51518445-A2BE-45B1-8C59-32AF4ED8CF64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D41:E42</xm:sqref>
        </x14:conditionalFormatting>
        <x14:conditionalFormatting xmlns:xm="http://schemas.microsoft.com/office/excel/2006/main">
          <x14:cfRule type="expression" priority="41" id="{B0A6299B-B4C9-479C-99FA-5B10147D2EFC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2" id="{070136B6-C3A6-4E7B-A5BE-F878AD0159A3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" id="{40A6BE84-2F92-4C2C-B116-0D340180381A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" id="{52EA0904-C76B-40FA-BC5F-E9A962497541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D43:D44</xm:sqref>
        </x14:conditionalFormatting>
        <x14:conditionalFormatting xmlns:xm="http://schemas.microsoft.com/office/excel/2006/main">
          <x14:cfRule type="expression" priority="33" id="{5E17B4F9-442D-416F-A545-67EB827B4024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" id="{2E2CCE2C-859F-4034-9FAF-1DE91E93A85A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" id="{16C63490-F895-4DF8-B495-4253B6738E19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" id="{AD68531F-8626-4197-968F-F9BC8EBE4918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E43</xm:sqref>
        </x14:conditionalFormatting>
        <x14:conditionalFormatting xmlns:xm="http://schemas.microsoft.com/office/excel/2006/main">
          <x14:cfRule type="expression" priority="25" id="{73753AFF-07F5-496C-B066-5620BCDE656D}">
            <xm:f>$A44='\Users\gletellier\Documents\201401\17.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6" id="{AAED18C5-C754-4EAF-841D-7A0250856461}">
            <xm:f>$A44='\Users\gletellier\Documents\201401\17.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7" id="{A97D29B7-728B-4C6B-8A0F-4831832634D6}">
            <xm:f>$A44='\Users\gletellier\Documents\201401\17.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8" id="{B868AC15-495E-4B60-A6D7-23A267D42813}">
            <xm:f>$A44='\Users\gletellier\Documents\201401\17.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E44</xm:sqref>
        </x14:conditionalFormatting>
        <x14:conditionalFormatting xmlns:xm="http://schemas.microsoft.com/office/excel/2006/main">
          <x14:cfRule type="expression" priority="17" id="{62A13C12-F219-47F0-AD71-17573886E99E}">
            <xm:f>$A26=myStatus!$A$6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" id="{AD6AD4EF-7971-4EBF-81E4-55D92DC998AD}">
            <xm:f>$A26=myStatus!$A$5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" id="{C1514E59-CCDE-41AD-8CE6-B3E29DB3114D}">
            <xm:f>$A26=myStatus!$A$4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" id="{B60C8E72-7282-43E6-8CE3-DCB8F45E3975}">
            <xm:f>$A26=myStatus!$A$3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A26 A36:A44</xm:sqref>
        </x14:conditionalFormatting>
        <x14:conditionalFormatting xmlns:xm="http://schemas.microsoft.com/office/excel/2006/main">
          <x14:cfRule type="expression" priority="13" id="{B38143DE-7FF1-4796-817C-FC5A956A8DE5}">
            <xm:f>$A16=myStatus!$A$6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" id="{38515E28-FC3E-4C86-AFCC-396FEA2A49D1}">
            <xm:f>$A16=myStatus!$A$5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" id="{14DC8A73-4792-44A9-B2B9-62ED583A7791}">
            <xm:f>$A16=myStatus!$A$4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" id="{7CAFF81B-1BA0-4728-91F0-C47B1E33D9F5}">
            <xm:f>$A16=myStatus!$A$3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A16:A17</xm:sqref>
        </x14:conditionalFormatting>
        <x14:conditionalFormatting xmlns:xm="http://schemas.microsoft.com/office/excel/2006/main">
          <x14:cfRule type="expression" priority="9" id="{28B6435C-E972-4CC6-955C-2AECDB76B86B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" id="{6EE35E01-1292-4792-A5A3-2D63534714FF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" id="{A0901918-EDED-46E2-BB43-6FA0C1454FD7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" id="{00726895-A001-4011-A808-47D7FB5F6780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A18</xm:sqref>
        </x14:conditionalFormatting>
        <x14:conditionalFormatting xmlns:xm="http://schemas.microsoft.com/office/excel/2006/main">
          <x14:cfRule type="expression" priority="5" id="{E576B3E5-E151-4554-972C-7DF8F2394543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7FD7F24D-E2FB-4669-A7C9-A94BF9A58D2E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" id="{7F4220EF-E299-4CDD-8E53-C3555D64A7FA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" id="{D347099A-5D20-4A3B-8B28-05E6462D88D4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A19:A25</xm:sqref>
        </x14:conditionalFormatting>
        <x14:conditionalFormatting xmlns:xm="http://schemas.microsoft.com/office/excel/2006/main">
          <x14:cfRule type="expression" priority="1" id="{A42393EE-1453-4435-87F3-E88C87F18102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CD7167E2-B089-4F2C-8801-65DF393CF494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464DB3C1-B310-49B0-B552-53ADFD574104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" id="{22D81CDE-15A1-4650-8653-D06295FCFC6F}">
            <xm:f>$A27=myStatus!$A$3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A27:A35</xm:sqref>
        </x14:conditionalFormatting>
      </x14:conditionalFormattings>
    </ext>
    <ext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myStatus!$B$3:$B$5</xm:f>
          </x14:formula1>
          <xm:sqref>H4</xm:sqref>
        </x14:dataValidation>
        <x14:dataValidation type="list" allowBlank="1" showInputMessage="1" showErrorMessage="1">
          <x14:formula1>
            <xm:f>myStatus!$A$3:$A$5</xm:f>
          </x14:formula1>
          <xm:sqref>F4</xm:sqref>
        </x14:dataValidation>
        <x14:dataValidation type="list" allowBlank="1" showInputMessage="1" showErrorMessage="1">
          <x14:formula1>
            <xm:f>myStatus!$A$3:$A$6</xm:f>
          </x14:formula1>
          <xm:sqref>B45:B1048576 A15:A1048576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14"/>
  <sheetViews>
    <sheetView zoomScale="85" zoomScaleNormal="85" workbookViewId="0">
      <selection activeCell="B14" sqref="B14"/>
    </sheetView>
  </sheetViews>
  <sheetFormatPr defaultRowHeight="15" x14ac:dyDescent="0.25"/>
  <cols>
    <col min="1" max="1" bestFit="true" customWidth="true" width="33.140625" collapsed="true"/>
    <col min="2" max="2" bestFit="true" customWidth="true" width="117.28515625" collapsed="true"/>
    <col min="3" max="3" customWidth="true" width="63.28515625" collapsed="true"/>
    <col min="4" max="4" bestFit="true" customWidth="true" width="29.28515625" collapsed="true"/>
  </cols>
  <sheetData>
    <row r="1" spans="1:3" ht="20.25" thickBot="1" x14ac:dyDescent="0.35">
      <c r="A1" s="54" t="s">
        <v>213</v>
      </c>
      <c r="B1" s="55"/>
      <c r="C1" s="56" t="s">
        <v>166</v>
      </c>
    </row>
    <row r="2" spans="1:3" ht="15.75" thickTop="1" x14ac:dyDescent="0.25">
      <c r="A2" s="57"/>
      <c r="B2" s="5" t="s">
        <v>212</v>
      </c>
      <c r="C2" s="58" t="str">
        <f>CONCATENATE("select synpat, refpat ,ittpat, stapat, nomenv, nomgrp, typevl from ysw06 where refpat in ('",B1,"');")</f>
        <v>select synpat, refpat ,ittpat, stapat, nomenv, nomgrp, typevl from ysw06 where refpat in ('');</v>
      </c>
    </row>
    <row r="3" spans="1:3" x14ac:dyDescent="0.25">
      <c r="A3" s="57"/>
      <c r="B3" s="5" t="s">
        <v>214</v>
      </c>
      <c r="C3" s="58" t="str">
        <f>CONCATENATE("select refmai ,ordopn, numstp ,typopn, swiman, vernum ,swimlt ,swichk ,ittcmd, nommbr, typmbr from ypd23_syn where refmai in ('",B1,"');")</f>
        <v>select refmai ,ordopn, numstp ,typopn, swiman, vernum ,swimlt ,swichk ,ittcmd, nommbr, typmbr from ypd23_syn where refmai in ('');</v>
      </c>
    </row>
    <row r="4" spans="1:3" x14ac:dyDescent="0.25">
      <c r="A4" s="57"/>
      <c r="B4" s="48" t="s">
        <v>215</v>
      </c>
      <c r="C4" s="58" t="str">
        <f>CONCATENATE("select refmai ,ordopn ,stpall, numstp, typopn ,swiman, vernum, swimlt, swichk ,ittcmd, nommbr, typmbr from yfd07 where reflot='",Summary!C11,"';")</f>
        <v>select refmai ,ordopn ,stpall, numstp, typopn ,swiman, vernum, swimlt, swichk ,ittcmd, nommbr, typmbr from yfd07 where reflot='';</v>
      </c>
    </row>
    <row r="5" spans="1:3" x14ac:dyDescent="0.25">
      <c r="A5" s="57"/>
      <c r="B5" s="5"/>
      <c r="C5" s="58"/>
    </row>
    <row r="6" spans="1:3" x14ac:dyDescent="0.25">
      <c r="A6" s="57"/>
      <c r="B6" s="5"/>
      <c r="C6" s="58"/>
    </row>
    <row r="7" spans="1:3" x14ac:dyDescent="0.25">
      <c r="A7" s="57"/>
      <c r="B7" s="5"/>
      <c r="C7" s="58"/>
    </row>
    <row r="8" spans="1:3" x14ac:dyDescent="0.25">
      <c r="A8" s="57"/>
      <c r="B8" s="5"/>
      <c r="C8" s="58"/>
    </row>
    <row r="9" spans="1:3" x14ac:dyDescent="0.25">
      <c r="A9" s="57"/>
      <c r="B9" s="5"/>
      <c r="C9" s="58"/>
    </row>
    <row r="10" spans="1:3" x14ac:dyDescent="0.25">
      <c r="A10" s="57"/>
      <c r="B10" s="5"/>
      <c r="C10" s="58"/>
    </row>
    <row r="11" spans="1:3" x14ac:dyDescent="0.25">
      <c r="A11" s="57"/>
      <c r="B11" s="5"/>
      <c r="C11" s="58"/>
    </row>
    <row r="12" spans="1:3" x14ac:dyDescent="0.25">
      <c r="A12" s="57"/>
      <c r="B12" s="5"/>
      <c r="C12" s="58"/>
    </row>
    <row r="13" spans="1:3" x14ac:dyDescent="0.25">
      <c r="A13" s="57"/>
      <c r="B13" s="5"/>
      <c r="C13" s="58"/>
    </row>
    <row r="14" spans="1:3" ht="15.75" thickBot="1" x14ac:dyDescent="0.3">
      <c r="A14" s="59"/>
      <c r="B14" s="60"/>
      <c r="C14" s="6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7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9" width="48.5703125" collapsed="true"/>
    <col min="2" max="2" bestFit="true" customWidth="true" style="2" width="9.7109375" collapsed="true"/>
    <col min="3" max="3" bestFit="true" customWidth="true" style="2" width="8.5703125" collapsed="true"/>
    <col min="4" max="4" bestFit="true" customWidth="true" style="2" width="15.0" collapsed="true"/>
    <col min="5" max="5" bestFit="true" customWidth="true" style="2" width="8.0" collapsed="true"/>
    <col min="6" max="6" bestFit="true" customWidth="true" style="2" width="39.0" collapsed="true"/>
    <col min="7" max="7" bestFit="true" customWidth="true" style="2" width="17.7109375" collapsed="true"/>
    <col min="8" max="10" bestFit="true" customWidth="true" style="2" width="255.7109375" collapsed="true"/>
    <col min="11" max="11" bestFit="true" customWidth="true" style="2" width="18.28515625" collapsed="true"/>
    <col min="12" max="16384" style="2" width="9.140625" collapsed="true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2"/>
    </row>
    <row r="2" spans="1:12" s="19" customFormat="1" ht="15.75" thickTop="1" x14ac:dyDescent="0.25"/>
    <row r="3" spans="1:12" s="19" customFormat="1" x14ac:dyDescent="0.25"/>
    <row r="4" spans="1:12" s="19" customFormat="1" x14ac:dyDescent="0.25"/>
    <row r="5" spans="1:12" s="19" customFormat="1" x14ac:dyDescent="0.25"/>
    <row r="6" spans="1:12" s="19" customFormat="1" x14ac:dyDescent="0.25"/>
    <row r="7" spans="1:12" s="19" customFormat="1" x14ac:dyDescent="0.25"/>
    <row r="8" spans="1:12" s="19" customFormat="1" x14ac:dyDescent="0.25"/>
    <row r="9" spans="1:12" s="19" customFormat="1" x14ac:dyDescent="0.25"/>
    <row r="10" spans="1:12" s="19" customFormat="1" x14ac:dyDescent="0.25"/>
    <row r="11" spans="1:12" s="19" customFormat="1" x14ac:dyDescent="0.25"/>
    <row r="12" spans="1:12" s="19" customFormat="1" x14ac:dyDescent="0.25"/>
    <row r="13" spans="1:12" s="19" customFormat="1" x14ac:dyDescent="0.25"/>
    <row r="14" spans="1:12" s="19" customFormat="1" x14ac:dyDescent="0.25"/>
    <row r="15" spans="1:12" s="19" customFormat="1" x14ac:dyDescent="0.25"/>
    <row r="16" spans="1:12" s="19" customFormat="1" x14ac:dyDescent="0.25"/>
    <row r="17" s="19" customFormat="1" x14ac:dyDescent="0.25"/>
    <row r="18" s="19" customFormat="1" x14ac:dyDescent="0.25"/>
    <row r="19" s="19" customFormat="1" x14ac:dyDescent="0.25"/>
    <row r="20" s="19" customFormat="1" x14ac:dyDescent="0.25"/>
    <row r="21" s="19" customFormat="1" x14ac:dyDescent="0.25"/>
    <row r="22" s="19" customFormat="1" x14ac:dyDescent="0.25"/>
    <row r="23" s="19" customFormat="1" x14ac:dyDescent="0.25"/>
    <row r="24" s="19" customFormat="1" x14ac:dyDescent="0.25"/>
    <row r="25" s="19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</sheetData>
  <autoFilter ref="A1:L60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  <autoFilter ref="A2:J162"/>
    </customSheetView>
  </customSheetView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4FE24729-6E1D-4FB9-B15F-D730F2592A12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00FFFF8-394F-495A-B0D1-785570B89082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2B01C1F3-4B7B-41A7-8BDB-5379D68EB2C6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576" id="{4FE24729-6E1D-4FB9-B15F-D730F2592A12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7" id="{C00FFFF8-394F-495A-B0D1-785570B89082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2B01C1F3-4B7B-41A7-8BDB-5379D68EB2C6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tabSelected="1" zoomScale="80" zoomScaleNormal="80" workbookViewId="0">
      <selection activeCell="I23" sqref="I23"/>
    </sheetView>
  </sheetViews>
  <sheetFormatPr defaultRowHeight="15" x14ac:dyDescent="0.25"/>
  <cols>
    <col min="1" max="1" bestFit="true" customWidth="true" width="7.5703125" collapsed="true"/>
    <col min="3" max="4" customWidth="true" width="11.0" collapsed="true"/>
    <col min="5" max="5" customWidth="true" width="12.85546875" collapsed="true"/>
    <col min="6" max="6" customWidth="true" width="52.5703125" collapsed="true"/>
  </cols>
  <sheetData>
    <row r="1" spans="1:6" ht="16.5" thickTop="1" thickBot="1" x14ac:dyDescent="0.3">
      <c r="A1" s="63" t="s">
        <v>293</v>
      </c>
      <c r="B1" s="63" t="s">
        <v>294</v>
      </c>
      <c r="C1" s="63" t="s">
        <v>295</v>
      </c>
      <c r="D1" s="63" t="s">
        <v>296</v>
      </c>
      <c r="E1" s="63" t="s">
        <v>297</v>
      </c>
      <c r="F1" s="64" t="s">
        <v>298</v>
      </c>
    </row>
    <row r="2">
      <c r="A2" t="s">
        <v>322</v>
      </c>
      <c r="B2" t="s">
        <v>323</v>
      </c>
      <c r="C2" t="s">
        <v>324</v>
      </c>
      <c r="D2" t="s">
        <v>325</v>
      </c>
      <c r="E2"/>
      <c r="F2" t="s">
        <v>326</v>
      </c>
    </row>
    <row r="3">
      <c r="A3" t="s">
        <v>327</v>
      </c>
      <c r="B3" t="s">
        <v>323</v>
      </c>
      <c r="C3" t="s">
        <v>328</v>
      </c>
      <c r="D3" t="s">
        <v>329</v>
      </c>
      <c r="E3"/>
      <c r="F3" t="s">
        <v>330</v>
      </c>
    </row>
    <row r="4">
      <c r="A4" t="s">
        <v>331</v>
      </c>
      <c r="B4" t="s">
        <v>323</v>
      </c>
      <c r="C4" t="s">
        <v>332</v>
      </c>
      <c r="D4" t="s">
        <v>329</v>
      </c>
      <c r="E4"/>
      <c r="F4" t="s">
        <v>330</v>
      </c>
    </row>
    <row r="5">
      <c r="A5" t="s">
        <v>333</v>
      </c>
      <c r="B5" t="s">
        <v>323</v>
      </c>
      <c r="C5" t="s">
        <v>334</v>
      </c>
      <c r="D5" t="s">
        <v>329</v>
      </c>
      <c r="E5"/>
      <c r="F5" t="s">
        <v>330</v>
      </c>
    </row>
    <row r="6">
      <c r="A6" t="s">
        <v>335</v>
      </c>
      <c r="B6" t="s">
        <v>323</v>
      </c>
      <c r="C6" t="s">
        <v>328</v>
      </c>
      <c r="D6" t="s">
        <v>329</v>
      </c>
      <c r="E6"/>
      <c r="F6" t="s">
        <v>336</v>
      </c>
    </row>
    <row r="7">
      <c r="A7" t="s">
        <v>337</v>
      </c>
      <c r="B7" t="s">
        <v>323</v>
      </c>
      <c r="C7" t="s">
        <v>338</v>
      </c>
      <c r="D7" t="s">
        <v>329</v>
      </c>
      <c r="E7"/>
      <c r="F7" t="s">
        <v>336</v>
      </c>
    </row>
    <row r="8">
      <c r="A8" t="s">
        <v>339</v>
      </c>
      <c r="B8" t="s">
        <v>323</v>
      </c>
      <c r="C8" t="s">
        <v>328</v>
      </c>
      <c r="D8" t="s">
        <v>329</v>
      </c>
      <c r="E8"/>
      <c r="F8" t="s">
        <v>340</v>
      </c>
    </row>
    <row r="9">
      <c r="A9" t="s">
        <v>341</v>
      </c>
      <c r="B9" t="s">
        <v>323</v>
      </c>
      <c r="C9" t="s">
        <v>328</v>
      </c>
      <c r="D9" t="s">
        <v>329</v>
      </c>
      <c r="E9"/>
      <c r="F9" t="s">
        <v>342</v>
      </c>
    </row>
    <row r="10">
      <c r="A10" t="s">
        <v>343</v>
      </c>
      <c r="B10" t="s">
        <v>323</v>
      </c>
      <c r="C10" t="s">
        <v>332</v>
      </c>
      <c r="D10" t="s">
        <v>329</v>
      </c>
      <c r="E10"/>
      <c r="F10" t="s">
        <v>342</v>
      </c>
    </row>
    <row r="11">
      <c r="A11" t="s">
        <v>344</v>
      </c>
      <c r="B11" t="s">
        <v>323</v>
      </c>
      <c r="C11" t="s">
        <v>345</v>
      </c>
      <c r="D11" t="s">
        <v>329</v>
      </c>
      <c r="E11"/>
      <c r="F11" t="s">
        <v>342</v>
      </c>
    </row>
    <row r="12">
      <c r="A12" t="s">
        <v>346</v>
      </c>
      <c r="B12" t="s">
        <v>323</v>
      </c>
      <c r="C12" t="s">
        <v>347</v>
      </c>
      <c r="D12" t="s">
        <v>329</v>
      </c>
      <c r="E12"/>
      <c r="F12" t="s">
        <v>348</v>
      </c>
    </row>
    <row r="13">
      <c r="A13" t="s">
        <v>349</v>
      </c>
      <c r="B13" t="s">
        <v>323</v>
      </c>
      <c r="C13" t="s">
        <v>324</v>
      </c>
      <c r="D13" t="s">
        <v>329</v>
      </c>
      <c r="E13"/>
      <c r="F13" t="s">
        <v>348</v>
      </c>
    </row>
    <row r="14">
      <c r="A14" t="s">
        <v>350</v>
      </c>
      <c r="B14" t="s">
        <v>323</v>
      </c>
      <c r="C14" t="s">
        <v>351</v>
      </c>
      <c r="D14" t="s">
        <v>329</v>
      </c>
      <c r="E14"/>
      <c r="F14" t="s">
        <v>352</v>
      </c>
    </row>
    <row r="15">
      <c r="A15" t="s">
        <v>353</v>
      </c>
      <c r="B15" t="s">
        <v>323</v>
      </c>
      <c r="C15" t="s">
        <v>354</v>
      </c>
      <c r="D15" t="s">
        <v>329</v>
      </c>
      <c r="E15"/>
      <c r="F15" t="s">
        <v>352</v>
      </c>
    </row>
    <row r="16">
      <c r="A16" t="s">
        <v>355</v>
      </c>
      <c r="B16" t="s">
        <v>323</v>
      </c>
      <c r="C16" t="s">
        <v>338</v>
      </c>
      <c r="D16" t="s">
        <v>329</v>
      </c>
      <c r="E16"/>
      <c r="F16" t="s">
        <v>356</v>
      </c>
    </row>
    <row r="17">
      <c r="A17" t="s">
        <v>357</v>
      </c>
      <c r="B17" t="s">
        <v>323</v>
      </c>
      <c r="C17" t="s">
        <v>328</v>
      </c>
      <c r="D17" t="s">
        <v>329</v>
      </c>
      <c r="E17"/>
      <c r="F17" t="s">
        <v>358</v>
      </c>
    </row>
    <row r="18">
      <c r="A18" t="s">
        <v>359</v>
      </c>
      <c r="B18" t="s">
        <v>323</v>
      </c>
      <c r="C18" t="s">
        <v>328</v>
      </c>
      <c r="D18" t="s">
        <v>360</v>
      </c>
      <c r="E18"/>
      <c r="F18" t="s">
        <v>361</v>
      </c>
    </row>
    <row r="19">
      <c r="A19" t="s">
        <v>362</v>
      </c>
      <c r="B19" t="s">
        <v>323</v>
      </c>
      <c r="C19" t="s">
        <v>328</v>
      </c>
      <c r="D19" t="s">
        <v>329</v>
      </c>
      <c r="E19"/>
      <c r="F19" t="s">
        <v>352</v>
      </c>
    </row>
    <row r="20">
      <c r="A20" t="s">
        <v>363</v>
      </c>
      <c r="B20" t="s">
        <v>323</v>
      </c>
      <c r="C20" t="s">
        <v>328</v>
      </c>
      <c r="D20" t="s">
        <v>329</v>
      </c>
      <c r="E20"/>
      <c r="F20" t="s">
        <v>326</v>
      </c>
    </row>
    <row r="21">
      <c r="A21" t="s">
        <v>364</v>
      </c>
      <c r="B21" t="s">
        <v>323</v>
      </c>
      <c r="C21" t="s">
        <v>334</v>
      </c>
      <c r="D21" t="s">
        <v>360</v>
      </c>
      <c r="E21"/>
      <c r="F21" t="s">
        <v>361</v>
      </c>
    </row>
    <row r="22">
      <c r="A22" t="s">
        <v>365</v>
      </c>
      <c r="B22" t="s">
        <v>323</v>
      </c>
      <c r="C22" t="s">
        <v>366</v>
      </c>
      <c r="D22" t="s">
        <v>360</v>
      </c>
      <c r="E22"/>
      <c r="F22" t="s">
        <v>361</v>
      </c>
    </row>
    <row r="23">
      <c r="A23" t="s">
        <v>367</v>
      </c>
      <c r="B23" t="s">
        <v>323</v>
      </c>
      <c r="C23" t="s">
        <v>332</v>
      </c>
      <c r="D23" t="s">
        <v>360</v>
      </c>
      <c r="E23"/>
      <c r="F23" t="s">
        <v>361</v>
      </c>
    </row>
    <row r="24">
      <c r="A24" t="s">
        <v>368</v>
      </c>
      <c r="B24" t="s">
        <v>323</v>
      </c>
      <c r="C24" t="s">
        <v>334</v>
      </c>
      <c r="D24" t="s">
        <v>329</v>
      </c>
      <c r="E24"/>
      <c r="F24" t="s">
        <v>348</v>
      </c>
    </row>
    <row r="25">
      <c r="A25" t="s">
        <v>369</v>
      </c>
      <c r="B25" t="s">
        <v>323</v>
      </c>
      <c r="C25" t="s">
        <v>366</v>
      </c>
      <c r="D25" t="s">
        <v>329</v>
      </c>
      <c r="E25"/>
      <c r="F25" t="s">
        <v>326</v>
      </c>
    </row>
    <row r="26">
      <c r="A26" t="s">
        <v>370</v>
      </c>
      <c r="B26" t="s">
        <v>323</v>
      </c>
      <c r="C26" t="s">
        <v>334</v>
      </c>
      <c r="D26" t="s">
        <v>329</v>
      </c>
      <c r="E26"/>
      <c r="F26" t="s">
        <v>326</v>
      </c>
    </row>
    <row r="27">
      <c r="A27" t="s">
        <v>371</v>
      </c>
      <c r="B27" t="s">
        <v>323</v>
      </c>
      <c r="C27" t="s">
        <v>328</v>
      </c>
      <c r="D27" t="s">
        <v>325</v>
      </c>
      <c r="E27"/>
      <c r="F27" t="s">
        <v>326</v>
      </c>
    </row>
    <row r="28">
      <c r="A28" t="s">
        <v>372</v>
      </c>
      <c r="B28" t="s">
        <v>323</v>
      </c>
      <c r="C28" t="s">
        <v>354</v>
      </c>
      <c r="D28" t="s">
        <v>325</v>
      </c>
      <c r="E28"/>
      <c r="F28" t="s">
        <v>326</v>
      </c>
    </row>
    <row r="29">
      <c r="A29" t="s">
        <v>373</v>
      </c>
      <c r="B29" t="s">
        <v>323</v>
      </c>
      <c r="C29" t="s">
        <v>332</v>
      </c>
      <c r="D29" t="s">
        <v>325</v>
      </c>
      <c r="E29"/>
      <c r="F29" t="s">
        <v>326</v>
      </c>
    </row>
    <row r="30">
      <c r="A30" t="s">
        <v>374</v>
      </c>
      <c r="B30" t="s">
        <v>323</v>
      </c>
      <c r="C30" t="s">
        <v>334</v>
      </c>
      <c r="D30" t="s">
        <v>325</v>
      </c>
      <c r="E30"/>
      <c r="F30" t="s">
        <v>326</v>
      </c>
    </row>
    <row r="31">
      <c r="A31" t="s">
        <v>375</v>
      </c>
      <c r="B31" t="s">
        <v>323</v>
      </c>
      <c r="C31" t="s">
        <v>328</v>
      </c>
      <c r="D31" t="s">
        <v>376</v>
      </c>
      <c r="E31"/>
      <c r="F31" t="s">
        <v>377</v>
      </c>
    </row>
    <row r="32">
      <c r="A32" t="s">
        <v>378</v>
      </c>
      <c r="B32" t="s">
        <v>323</v>
      </c>
      <c r="C32" t="s">
        <v>379</v>
      </c>
      <c r="D32" t="s">
        <v>376</v>
      </c>
      <c r="E32"/>
      <c r="F32" t="s">
        <v>377</v>
      </c>
    </row>
    <row r="33">
      <c r="A33" t="s">
        <v>380</v>
      </c>
      <c r="B33" t="s">
        <v>323</v>
      </c>
      <c r="C33" t="s">
        <v>334</v>
      </c>
      <c r="D33" t="s">
        <v>376</v>
      </c>
      <c r="E33"/>
      <c r="F33" t="s">
        <v>377</v>
      </c>
    </row>
    <row r="34">
      <c r="A34" t="s">
        <v>381</v>
      </c>
      <c r="B34" t="s">
        <v>323</v>
      </c>
      <c r="C34" t="s">
        <v>366</v>
      </c>
      <c r="D34" t="s">
        <v>376</v>
      </c>
      <c r="E34"/>
      <c r="F34" t="s">
        <v>377</v>
      </c>
    </row>
    <row r="35">
      <c r="A35" t="s">
        <v>382</v>
      </c>
      <c r="B35" t="s">
        <v>323</v>
      </c>
      <c r="C35" t="s">
        <v>332</v>
      </c>
      <c r="D35" t="s">
        <v>376</v>
      </c>
      <c r="E35"/>
      <c r="F35" t="s">
        <v>377</v>
      </c>
    </row>
    <row r="36">
      <c r="A36" t="s">
        <v>383</v>
      </c>
      <c r="B36" t="s">
        <v>323</v>
      </c>
      <c r="C36" t="s">
        <v>351</v>
      </c>
      <c r="D36" t="s">
        <v>325</v>
      </c>
      <c r="E36"/>
      <c r="F36" t="s">
        <v>326</v>
      </c>
    </row>
    <row r="37">
      <c r="A37" t="s">
        <v>384</v>
      </c>
      <c r="B37" t="s">
        <v>323</v>
      </c>
      <c r="C37" t="s">
        <v>334</v>
      </c>
      <c r="D37" t="s">
        <v>329</v>
      </c>
      <c r="E37"/>
      <c r="F37" t="s">
        <v>385</v>
      </c>
    </row>
    <row r="38">
      <c r="A38" t="s">
        <v>386</v>
      </c>
      <c r="B38" t="s">
        <v>323</v>
      </c>
      <c r="C38" t="s">
        <v>366</v>
      </c>
      <c r="D38" t="s">
        <v>329</v>
      </c>
      <c r="E38"/>
      <c r="F38" t="s">
        <v>387</v>
      </c>
    </row>
    <row r="39">
      <c r="A39" t="s">
        <v>388</v>
      </c>
      <c r="B39" t="s">
        <v>323</v>
      </c>
      <c r="C39" t="s">
        <v>389</v>
      </c>
      <c r="D39" t="s">
        <v>390</v>
      </c>
      <c r="E39"/>
      <c r="F39" t="s">
        <v>387</v>
      </c>
    </row>
    <row r="40">
      <c r="A40" t="s">
        <v>391</v>
      </c>
      <c r="B40" t="s">
        <v>323</v>
      </c>
      <c r="C40" t="s">
        <v>392</v>
      </c>
      <c r="D40" t="s">
        <v>390</v>
      </c>
      <c r="E40"/>
      <c r="F40" t="s">
        <v>387</v>
      </c>
    </row>
    <row r="41">
      <c r="A41" t="s">
        <v>393</v>
      </c>
      <c r="B41" t="s">
        <v>323</v>
      </c>
      <c r="C41" t="s">
        <v>328</v>
      </c>
      <c r="D41" t="s">
        <v>329</v>
      </c>
      <c r="E41"/>
      <c r="F41" t="s">
        <v>394</v>
      </c>
    </row>
    <row r="42">
      <c r="A42" t="s">
        <v>395</v>
      </c>
      <c r="B42" t="s">
        <v>323</v>
      </c>
      <c r="C42" t="s">
        <v>328</v>
      </c>
      <c r="D42" t="s">
        <v>329</v>
      </c>
      <c r="E42"/>
      <c r="F42" t="s">
        <v>396</v>
      </c>
    </row>
    <row r="43">
      <c r="A43" t="s">
        <v>397</v>
      </c>
      <c r="B43" t="s">
        <v>323</v>
      </c>
      <c r="C43" t="s">
        <v>328</v>
      </c>
      <c r="D43" t="s">
        <v>329</v>
      </c>
      <c r="E43"/>
      <c r="F43" t="s">
        <v>398</v>
      </c>
    </row>
    <row r="44">
      <c r="A44" t="s">
        <v>399</v>
      </c>
      <c r="B44" t="s">
        <v>323</v>
      </c>
      <c r="C44" t="s">
        <v>328</v>
      </c>
      <c r="D44" t="s">
        <v>329</v>
      </c>
      <c r="E44"/>
      <c r="F44" t="s">
        <v>400</v>
      </c>
    </row>
    <row r="45">
      <c r="A45" t="s">
        <v>401</v>
      </c>
      <c r="B45" t="s">
        <v>323</v>
      </c>
      <c r="C45" t="s">
        <v>379</v>
      </c>
      <c r="D45" t="s">
        <v>329</v>
      </c>
      <c r="E45"/>
      <c r="F45" t="s">
        <v>385</v>
      </c>
    </row>
    <row r="46">
      <c r="A46" t="s">
        <v>402</v>
      </c>
      <c r="B46" t="s">
        <v>323</v>
      </c>
      <c r="C46" t="s">
        <v>338</v>
      </c>
      <c r="D46" t="s">
        <v>329</v>
      </c>
      <c r="E46"/>
      <c r="F46" t="s">
        <v>403</v>
      </c>
    </row>
    <row r="47">
      <c r="A47" t="s">
        <v>404</v>
      </c>
      <c r="B47" t="s">
        <v>323</v>
      </c>
      <c r="C47" t="s">
        <v>328</v>
      </c>
      <c r="D47" t="s">
        <v>329</v>
      </c>
      <c r="E47"/>
      <c r="F47" t="s">
        <v>405</v>
      </c>
    </row>
  </sheetData>
  <autoFilter ref="A1:F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80" zoomScaleNormal="80" workbookViewId="0">
      <selection sqref="A1:F1"/>
    </sheetView>
  </sheetViews>
  <sheetFormatPr defaultRowHeight="15" x14ac:dyDescent="0.25"/>
  <cols>
    <col min="2" max="2" customWidth="true" width="40.42578125" collapsed="true"/>
    <col min="5" max="5" customWidth="true" width="11.28515625" collapsed="true"/>
    <col min="6" max="6" customWidth="true" width="9.5703125" collapsed="true"/>
  </cols>
  <sheetData>
    <row r="1" spans="1:6" ht="16.5" thickTop="1" thickBot="1" x14ac:dyDescent="0.3">
      <c r="A1" s="63" t="s">
        <v>293</v>
      </c>
      <c r="B1" s="63" t="s">
        <v>299</v>
      </c>
      <c r="C1" s="63" t="s">
        <v>300</v>
      </c>
      <c r="D1" s="63" t="s">
        <v>301</v>
      </c>
      <c r="E1" s="65" t="s">
        <v>296</v>
      </c>
      <c r="F1" s="66" t="s">
        <v>293</v>
      </c>
    </row>
    <row r="2">
      <c r="A2" t="s">
        <v>322</v>
      </c>
      <c r="B2" t="s">
        <v>406</v>
      </c>
      <c r="C2" t="s">
        <v>407</v>
      </c>
      <c r="D2" t="s">
        <v>408</v>
      </c>
    </row>
    <row r="3">
      <c r="A3" t="s">
        <v>327</v>
      </c>
      <c r="B3" t="s">
        <v>409</v>
      </c>
      <c r="C3" t="s">
        <v>410</v>
      </c>
      <c r="D3" t="s">
        <v>411</v>
      </c>
    </row>
    <row r="4">
      <c r="A4" t="s">
        <v>327</v>
      </c>
      <c r="B4" t="s">
        <v>412</v>
      </c>
      <c r="C4" t="s">
        <v>413</v>
      </c>
      <c r="D4" t="s">
        <v>411</v>
      </c>
    </row>
    <row r="5">
      <c r="A5" t="s">
        <v>327</v>
      </c>
      <c r="B5" t="s">
        <v>414</v>
      </c>
      <c r="C5" t="s">
        <v>413</v>
      </c>
      <c r="D5" t="s">
        <v>411</v>
      </c>
    </row>
    <row r="6">
      <c r="A6" t="s">
        <v>327</v>
      </c>
      <c r="B6" t="s">
        <v>415</v>
      </c>
      <c r="C6" t="s">
        <v>413</v>
      </c>
      <c r="D6" t="s">
        <v>411</v>
      </c>
    </row>
    <row r="7">
      <c r="A7" t="s">
        <v>327</v>
      </c>
      <c r="B7" t="s">
        <v>416</v>
      </c>
      <c r="C7" t="s">
        <v>417</v>
      </c>
      <c r="D7" t="s">
        <v>411</v>
      </c>
    </row>
    <row r="8">
      <c r="A8" t="s">
        <v>327</v>
      </c>
      <c r="B8" t="s">
        <v>418</v>
      </c>
      <c r="C8" t="s">
        <v>419</v>
      </c>
      <c r="D8" t="s">
        <v>411</v>
      </c>
    </row>
    <row r="9">
      <c r="A9" t="s">
        <v>327</v>
      </c>
      <c r="B9" t="s">
        <v>420</v>
      </c>
      <c r="C9" t="s">
        <v>419</v>
      </c>
      <c r="D9" t="s">
        <v>411</v>
      </c>
    </row>
    <row r="10">
      <c r="A10" t="s">
        <v>327</v>
      </c>
      <c r="B10" t="s">
        <v>421</v>
      </c>
      <c r="C10" t="s">
        <v>419</v>
      </c>
      <c r="D10" t="s">
        <v>411</v>
      </c>
    </row>
    <row r="11">
      <c r="A11" t="s">
        <v>327</v>
      </c>
      <c r="B11" t="s">
        <v>422</v>
      </c>
      <c r="C11" t="s">
        <v>419</v>
      </c>
      <c r="D11" t="s">
        <v>411</v>
      </c>
    </row>
    <row r="12">
      <c r="A12" t="s">
        <v>327</v>
      </c>
      <c r="B12" t="s">
        <v>423</v>
      </c>
      <c r="C12" t="s">
        <v>419</v>
      </c>
      <c r="D12" t="s">
        <v>411</v>
      </c>
    </row>
    <row r="13">
      <c r="A13" t="s">
        <v>327</v>
      </c>
      <c r="B13" t="s">
        <v>424</v>
      </c>
      <c r="C13" t="s">
        <v>419</v>
      </c>
      <c r="D13" t="s">
        <v>411</v>
      </c>
    </row>
    <row r="14">
      <c r="A14" t="s">
        <v>327</v>
      </c>
      <c r="B14" t="s">
        <v>425</v>
      </c>
      <c r="C14" t="s">
        <v>419</v>
      </c>
      <c r="D14" t="s">
        <v>411</v>
      </c>
    </row>
    <row r="15">
      <c r="A15" t="s">
        <v>327</v>
      </c>
      <c r="B15" t="s">
        <v>426</v>
      </c>
      <c r="C15" t="s">
        <v>419</v>
      </c>
      <c r="D15" t="s">
        <v>411</v>
      </c>
    </row>
    <row r="16">
      <c r="A16" t="s">
        <v>327</v>
      </c>
      <c r="B16" t="s">
        <v>427</v>
      </c>
      <c r="C16" t="s">
        <v>419</v>
      </c>
      <c r="D16" t="s">
        <v>411</v>
      </c>
    </row>
    <row r="17">
      <c r="A17" t="s">
        <v>327</v>
      </c>
      <c r="B17" t="s">
        <v>428</v>
      </c>
      <c r="C17" t="s">
        <v>419</v>
      </c>
      <c r="D17" t="s">
        <v>411</v>
      </c>
    </row>
    <row r="18">
      <c r="A18" t="s">
        <v>327</v>
      </c>
      <c r="B18" t="s">
        <v>429</v>
      </c>
      <c r="C18" t="s">
        <v>417</v>
      </c>
      <c r="D18" t="s">
        <v>411</v>
      </c>
    </row>
    <row r="19">
      <c r="A19" t="s">
        <v>327</v>
      </c>
      <c r="B19" t="s">
        <v>430</v>
      </c>
      <c r="C19" t="s">
        <v>419</v>
      </c>
      <c r="D19" t="s">
        <v>411</v>
      </c>
    </row>
    <row r="20">
      <c r="A20" t="s">
        <v>327</v>
      </c>
      <c r="B20" t="s">
        <v>431</v>
      </c>
      <c r="C20" t="s">
        <v>419</v>
      </c>
      <c r="D20" t="s">
        <v>411</v>
      </c>
    </row>
    <row r="21">
      <c r="A21" t="s">
        <v>327</v>
      </c>
      <c r="B21" t="s">
        <v>432</v>
      </c>
      <c r="C21" t="s">
        <v>419</v>
      </c>
      <c r="D21" t="s">
        <v>411</v>
      </c>
    </row>
    <row r="22">
      <c r="A22" t="s">
        <v>327</v>
      </c>
      <c r="B22" t="s">
        <v>433</v>
      </c>
      <c r="C22" t="s">
        <v>419</v>
      </c>
      <c r="D22" t="s">
        <v>411</v>
      </c>
    </row>
    <row r="23">
      <c r="A23" t="s">
        <v>327</v>
      </c>
      <c r="B23" t="s">
        <v>434</v>
      </c>
      <c r="C23" t="s">
        <v>419</v>
      </c>
      <c r="D23" t="s">
        <v>411</v>
      </c>
    </row>
    <row r="24">
      <c r="A24" t="s">
        <v>327</v>
      </c>
      <c r="B24" t="s">
        <v>435</v>
      </c>
      <c r="C24" t="s">
        <v>419</v>
      </c>
      <c r="D24" t="s">
        <v>411</v>
      </c>
    </row>
    <row r="25">
      <c r="A25" t="s">
        <v>327</v>
      </c>
      <c r="B25" t="s">
        <v>436</v>
      </c>
      <c r="C25" t="s">
        <v>419</v>
      </c>
      <c r="D25" t="s">
        <v>411</v>
      </c>
    </row>
    <row r="26">
      <c r="A26" t="s">
        <v>327</v>
      </c>
      <c r="B26" t="s">
        <v>437</v>
      </c>
      <c r="C26" t="s">
        <v>419</v>
      </c>
      <c r="D26" t="s">
        <v>411</v>
      </c>
    </row>
    <row r="27">
      <c r="A27" t="s">
        <v>327</v>
      </c>
      <c r="B27" t="s">
        <v>438</v>
      </c>
      <c r="C27" t="s">
        <v>419</v>
      </c>
      <c r="D27" t="s">
        <v>411</v>
      </c>
    </row>
    <row r="28">
      <c r="A28" t="s">
        <v>327</v>
      </c>
      <c r="B28" t="s">
        <v>439</v>
      </c>
      <c r="C28" t="s">
        <v>419</v>
      </c>
      <c r="D28" t="s">
        <v>411</v>
      </c>
    </row>
    <row r="29">
      <c r="A29" t="s">
        <v>327</v>
      </c>
      <c r="B29" t="s">
        <v>440</v>
      </c>
      <c r="C29" t="s">
        <v>419</v>
      </c>
      <c r="D29" t="s">
        <v>411</v>
      </c>
    </row>
    <row r="30">
      <c r="A30" t="s">
        <v>327</v>
      </c>
      <c r="B30" t="s">
        <v>441</v>
      </c>
      <c r="C30" t="s">
        <v>419</v>
      </c>
      <c r="D30" t="s">
        <v>411</v>
      </c>
    </row>
    <row r="31">
      <c r="A31" t="s">
        <v>327</v>
      </c>
      <c r="B31" t="s">
        <v>442</v>
      </c>
      <c r="C31" t="s">
        <v>419</v>
      </c>
      <c r="D31" t="s">
        <v>411</v>
      </c>
    </row>
    <row r="32">
      <c r="A32" t="s">
        <v>327</v>
      </c>
      <c r="B32" t="s">
        <v>443</v>
      </c>
      <c r="C32" t="s">
        <v>419</v>
      </c>
      <c r="D32" t="s">
        <v>411</v>
      </c>
    </row>
    <row r="33">
      <c r="A33" t="s">
        <v>327</v>
      </c>
      <c r="B33" t="s">
        <v>444</v>
      </c>
      <c r="C33" t="s">
        <v>419</v>
      </c>
      <c r="D33" t="s">
        <v>411</v>
      </c>
    </row>
    <row r="34">
      <c r="A34" t="s">
        <v>327</v>
      </c>
      <c r="B34" t="s">
        <v>445</v>
      </c>
      <c r="C34" t="s">
        <v>419</v>
      </c>
      <c r="D34" t="s">
        <v>411</v>
      </c>
    </row>
    <row r="35">
      <c r="A35" t="s">
        <v>327</v>
      </c>
      <c r="B35" t="s">
        <v>446</v>
      </c>
      <c r="C35" t="s">
        <v>419</v>
      </c>
      <c r="D35" t="s">
        <v>411</v>
      </c>
    </row>
    <row r="36">
      <c r="A36" t="s">
        <v>327</v>
      </c>
      <c r="B36" t="s">
        <v>447</v>
      </c>
      <c r="C36" t="s">
        <v>419</v>
      </c>
      <c r="D36" t="s">
        <v>411</v>
      </c>
    </row>
    <row r="37">
      <c r="A37" t="s">
        <v>327</v>
      </c>
      <c r="B37" t="s">
        <v>448</v>
      </c>
      <c r="C37" t="s">
        <v>417</v>
      </c>
      <c r="D37" t="s">
        <v>411</v>
      </c>
    </row>
    <row r="38">
      <c r="A38" t="s">
        <v>327</v>
      </c>
      <c r="B38" t="s">
        <v>449</v>
      </c>
      <c r="C38" t="s">
        <v>419</v>
      </c>
      <c r="D38" t="s">
        <v>411</v>
      </c>
    </row>
    <row r="39">
      <c r="A39" t="s">
        <v>327</v>
      </c>
      <c r="B39" t="s">
        <v>450</v>
      </c>
      <c r="C39" t="s">
        <v>419</v>
      </c>
      <c r="D39" t="s">
        <v>411</v>
      </c>
    </row>
    <row r="40">
      <c r="A40" t="s">
        <v>327</v>
      </c>
      <c r="B40" t="s">
        <v>451</v>
      </c>
      <c r="C40" t="s">
        <v>419</v>
      </c>
      <c r="D40" t="s">
        <v>411</v>
      </c>
    </row>
    <row r="41">
      <c r="A41" t="s">
        <v>327</v>
      </c>
      <c r="B41" t="s">
        <v>452</v>
      </c>
      <c r="C41" t="s">
        <v>419</v>
      </c>
      <c r="D41" t="s">
        <v>411</v>
      </c>
    </row>
    <row r="42">
      <c r="A42" t="s">
        <v>327</v>
      </c>
      <c r="B42" t="s">
        <v>453</v>
      </c>
      <c r="C42" t="s">
        <v>419</v>
      </c>
      <c r="D42" t="s">
        <v>411</v>
      </c>
    </row>
    <row r="43">
      <c r="A43" t="s">
        <v>327</v>
      </c>
      <c r="B43" t="s">
        <v>454</v>
      </c>
      <c r="C43" t="s">
        <v>417</v>
      </c>
      <c r="D43" t="s">
        <v>411</v>
      </c>
    </row>
    <row r="44">
      <c r="A44" t="s">
        <v>327</v>
      </c>
      <c r="B44" t="s">
        <v>455</v>
      </c>
      <c r="C44" t="s">
        <v>419</v>
      </c>
      <c r="D44" t="s">
        <v>411</v>
      </c>
    </row>
    <row r="45">
      <c r="A45" t="s">
        <v>327</v>
      </c>
      <c r="B45" t="s">
        <v>456</v>
      </c>
      <c r="C45" t="s">
        <v>419</v>
      </c>
      <c r="D45" t="s">
        <v>411</v>
      </c>
    </row>
    <row r="46">
      <c r="A46" t="s">
        <v>327</v>
      </c>
      <c r="B46" t="s">
        <v>457</v>
      </c>
      <c r="C46" t="s">
        <v>419</v>
      </c>
      <c r="D46" t="s">
        <v>411</v>
      </c>
    </row>
    <row r="47">
      <c r="A47" t="s">
        <v>327</v>
      </c>
      <c r="B47" t="s">
        <v>458</v>
      </c>
      <c r="C47" t="s">
        <v>419</v>
      </c>
      <c r="D47" t="s">
        <v>411</v>
      </c>
    </row>
    <row r="48">
      <c r="A48" t="s">
        <v>327</v>
      </c>
      <c r="B48" t="s">
        <v>459</v>
      </c>
      <c r="C48" t="s">
        <v>419</v>
      </c>
      <c r="D48" t="s">
        <v>411</v>
      </c>
    </row>
    <row r="49">
      <c r="A49" t="s">
        <v>327</v>
      </c>
      <c r="B49" t="s">
        <v>460</v>
      </c>
      <c r="C49" t="s">
        <v>417</v>
      </c>
      <c r="D49" t="s">
        <v>411</v>
      </c>
    </row>
    <row r="50">
      <c r="A50" t="s">
        <v>327</v>
      </c>
      <c r="B50" t="s">
        <v>461</v>
      </c>
      <c r="C50" t="s">
        <v>419</v>
      </c>
      <c r="D50" t="s">
        <v>411</v>
      </c>
    </row>
    <row r="51">
      <c r="A51" t="s">
        <v>327</v>
      </c>
      <c r="B51" t="s">
        <v>462</v>
      </c>
      <c r="C51" t="s">
        <v>417</v>
      </c>
      <c r="D51" t="s">
        <v>411</v>
      </c>
    </row>
    <row r="52">
      <c r="A52" t="s">
        <v>327</v>
      </c>
      <c r="B52" t="s">
        <v>463</v>
      </c>
      <c r="C52" t="s">
        <v>419</v>
      </c>
      <c r="D52" t="s">
        <v>411</v>
      </c>
    </row>
    <row r="53">
      <c r="A53" t="s">
        <v>327</v>
      </c>
      <c r="B53" t="s">
        <v>464</v>
      </c>
      <c r="C53" t="s">
        <v>465</v>
      </c>
      <c r="D53" t="s">
        <v>411</v>
      </c>
    </row>
    <row r="54">
      <c r="A54" t="s">
        <v>327</v>
      </c>
      <c r="B54" t="s">
        <v>466</v>
      </c>
      <c r="C54" t="s">
        <v>465</v>
      </c>
      <c r="D54" t="s">
        <v>411</v>
      </c>
    </row>
    <row r="55">
      <c r="A55" t="s">
        <v>327</v>
      </c>
      <c r="B55" t="s">
        <v>467</v>
      </c>
      <c r="C55" t="s">
        <v>465</v>
      </c>
      <c r="D55" t="s">
        <v>411</v>
      </c>
    </row>
    <row r="56">
      <c r="A56" t="s">
        <v>327</v>
      </c>
      <c r="B56" t="s">
        <v>468</v>
      </c>
      <c r="C56" t="s">
        <v>469</v>
      </c>
      <c r="D56" t="s">
        <v>408</v>
      </c>
    </row>
    <row r="57">
      <c r="A57" t="s">
        <v>327</v>
      </c>
      <c r="B57" t="s">
        <v>470</v>
      </c>
      <c r="C57" t="s">
        <v>471</v>
      </c>
      <c r="D57" t="s">
        <v>408</v>
      </c>
    </row>
    <row r="58">
      <c r="A58" t="s">
        <v>327</v>
      </c>
      <c r="B58" t="s">
        <v>472</v>
      </c>
      <c r="C58" t="s">
        <v>473</v>
      </c>
      <c r="D58" t="s">
        <v>411</v>
      </c>
    </row>
    <row r="59">
      <c r="A59" t="s">
        <v>327</v>
      </c>
      <c r="B59" t="s">
        <v>474</v>
      </c>
      <c r="C59" t="s">
        <v>473</v>
      </c>
      <c r="D59" t="s">
        <v>411</v>
      </c>
    </row>
    <row r="60">
      <c r="A60" t="s">
        <v>327</v>
      </c>
      <c r="B60" t="s">
        <v>475</v>
      </c>
      <c r="C60" t="s">
        <v>473</v>
      </c>
      <c r="D60" t="s">
        <v>411</v>
      </c>
    </row>
    <row r="61">
      <c r="A61" t="s">
        <v>327</v>
      </c>
      <c r="B61" t="s">
        <v>476</v>
      </c>
      <c r="C61" t="s">
        <v>473</v>
      </c>
      <c r="D61" t="s">
        <v>411</v>
      </c>
    </row>
    <row r="62">
      <c r="A62" t="s">
        <v>327</v>
      </c>
      <c r="B62" t="s">
        <v>477</v>
      </c>
      <c r="C62" t="s">
        <v>473</v>
      </c>
      <c r="D62" t="s">
        <v>411</v>
      </c>
    </row>
    <row r="63">
      <c r="A63" t="s">
        <v>327</v>
      </c>
      <c r="B63" t="s">
        <v>478</v>
      </c>
      <c r="C63" t="s">
        <v>473</v>
      </c>
      <c r="D63" t="s">
        <v>411</v>
      </c>
    </row>
    <row r="64">
      <c r="A64" t="s">
        <v>327</v>
      </c>
      <c r="B64" t="s">
        <v>479</v>
      </c>
      <c r="C64" t="s">
        <v>473</v>
      </c>
      <c r="D64" t="s">
        <v>411</v>
      </c>
    </row>
    <row r="65">
      <c r="A65" t="s">
        <v>327</v>
      </c>
      <c r="B65" t="s">
        <v>480</v>
      </c>
      <c r="C65" t="s">
        <v>473</v>
      </c>
      <c r="D65" t="s">
        <v>411</v>
      </c>
    </row>
    <row r="66">
      <c r="A66" t="s">
        <v>327</v>
      </c>
      <c r="B66" t="s">
        <v>481</v>
      </c>
      <c r="C66" t="s">
        <v>473</v>
      </c>
      <c r="D66" t="s">
        <v>411</v>
      </c>
    </row>
    <row r="67">
      <c r="A67" t="s">
        <v>327</v>
      </c>
      <c r="B67" t="s">
        <v>482</v>
      </c>
      <c r="C67" t="s">
        <v>473</v>
      </c>
      <c r="D67" t="s">
        <v>411</v>
      </c>
    </row>
    <row r="68">
      <c r="A68" t="s">
        <v>327</v>
      </c>
      <c r="B68" t="s">
        <v>483</v>
      </c>
      <c r="C68" t="s">
        <v>473</v>
      </c>
      <c r="D68" t="s">
        <v>411</v>
      </c>
    </row>
    <row r="69">
      <c r="A69" t="s">
        <v>327</v>
      </c>
      <c r="B69" t="s">
        <v>484</v>
      </c>
      <c r="C69" t="s">
        <v>473</v>
      </c>
      <c r="D69" t="s">
        <v>411</v>
      </c>
    </row>
    <row r="70">
      <c r="A70" t="s">
        <v>327</v>
      </c>
      <c r="B70" t="s">
        <v>485</v>
      </c>
      <c r="C70" t="s">
        <v>473</v>
      </c>
      <c r="D70" t="s">
        <v>411</v>
      </c>
    </row>
    <row r="71">
      <c r="A71" t="s">
        <v>327</v>
      </c>
      <c r="B71" t="s">
        <v>486</v>
      </c>
      <c r="C71" t="s">
        <v>487</v>
      </c>
      <c r="D71" t="s">
        <v>411</v>
      </c>
    </row>
    <row r="72">
      <c r="A72" t="s">
        <v>327</v>
      </c>
      <c r="B72" t="s">
        <v>488</v>
      </c>
      <c r="C72" t="s">
        <v>489</v>
      </c>
      <c r="D72" t="s">
        <v>411</v>
      </c>
    </row>
    <row r="73">
      <c r="A73" t="s">
        <v>327</v>
      </c>
      <c r="B73" t="s">
        <v>490</v>
      </c>
      <c r="C73" t="s">
        <v>491</v>
      </c>
      <c r="D73" t="s">
        <v>411</v>
      </c>
    </row>
    <row r="74">
      <c r="A74" t="s">
        <v>327</v>
      </c>
      <c r="B74" t="s">
        <v>490</v>
      </c>
      <c r="C74" t="s">
        <v>492</v>
      </c>
      <c r="D74" t="s">
        <v>411</v>
      </c>
    </row>
    <row r="75">
      <c r="A75" t="s">
        <v>327</v>
      </c>
      <c r="B75" t="s">
        <v>493</v>
      </c>
      <c r="C75" t="s">
        <v>494</v>
      </c>
      <c r="D75" t="s">
        <v>411</v>
      </c>
    </row>
    <row r="76">
      <c r="A76" t="s">
        <v>327</v>
      </c>
      <c r="B76" t="s">
        <v>495</v>
      </c>
      <c r="C76" t="s">
        <v>496</v>
      </c>
      <c r="D76" t="s">
        <v>411</v>
      </c>
    </row>
    <row r="77">
      <c r="A77" t="s">
        <v>327</v>
      </c>
      <c r="B77" t="s">
        <v>497</v>
      </c>
      <c r="C77" t="s">
        <v>410</v>
      </c>
      <c r="D77" t="s">
        <v>411</v>
      </c>
    </row>
    <row r="78">
      <c r="A78" t="s">
        <v>327</v>
      </c>
      <c r="B78" t="s">
        <v>498</v>
      </c>
      <c r="C78" t="s">
        <v>410</v>
      </c>
      <c r="D78" t="s">
        <v>411</v>
      </c>
    </row>
    <row r="79">
      <c r="A79" t="s">
        <v>327</v>
      </c>
      <c r="B79" t="s">
        <v>499</v>
      </c>
      <c r="C79" t="s">
        <v>410</v>
      </c>
      <c r="D79" t="s">
        <v>411</v>
      </c>
    </row>
    <row r="80">
      <c r="A80" t="s">
        <v>327</v>
      </c>
      <c r="B80" t="s">
        <v>500</v>
      </c>
      <c r="C80" t="s">
        <v>410</v>
      </c>
      <c r="D80" t="s">
        <v>411</v>
      </c>
    </row>
    <row r="81">
      <c r="A81" t="s">
        <v>327</v>
      </c>
      <c r="B81" t="s">
        <v>501</v>
      </c>
      <c r="C81" t="s">
        <v>496</v>
      </c>
      <c r="D81" t="s">
        <v>411</v>
      </c>
    </row>
    <row r="82">
      <c r="A82" t="s">
        <v>327</v>
      </c>
      <c r="B82" t="s">
        <v>502</v>
      </c>
      <c r="C82" t="s">
        <v>496</v>
      </c>
      <c r="D82" t="s">
        <v>411</v>
      </c>
    </row>
    <row r="83">
      <c r="A83" t="s">
        <v>327</v>
      </c>
      <c r="B83" t="s">
        <v>503</v>
      </c>
      <c r="C83" t="s">
        <v>410</v>
      </c>
      <c r="D83" t="s">
        <v>411</v>
      </c>
    </row>
    <row r="84">
      <c r="A84" t="s">
        <v>327</v>
      </c>
      <c r="B84" t="s">
        <v>504</v>
      </c>
      <c r="C84" t="s">
        <v>505</v>
      </c>
      <c r="D84" t="s">
        <v>411</v>
      </c>
    </row>
    <row r="85">
      <c r="A85" t="s">
        <v>327</v>
      </c>
      <c r="B85" t="s">
        <v>506</v>
      </c>
      <c r="C85" t="s">
        <v>507</v>
      </c>
      <c r="D85" t="s">
        <v>408</v>
      </c>
    </row>
    <row r="86">
      <c r="A86" t="s">
        <v>327</v>
      </c>
      <c r="B86" t="s">
        <v>508</v>
      </c>
      <c r="C86" t="s">
        <v>507</v>
      </c>
      <c r="D86" t="s">
        <v>408</v>
      </c>
    </row>
    <row r="87">
      <c r="A87" t="s">
        <v>327</v>
      </c>
      <c r="B87" t="s">
        <v>509</v>
      </c>
      <c r="C87" t="s">
        <v>507</v>
      </c>
      <c r="D87" t="s">
        <v>408</v>
      </c>
    </row>
    <row r="88">
      <c r="A88" t="s">
        <v>327</v>
      </c>
      <c r="B88" t="s">
        <v>510</v>
      </c>
      <c r="C88" t="s">
        <v>410</v>
      </c>
      <c r="D88" t="s">
        <v>411</v>
      </c>
    </row>
    <row r="89">
      <c r="A89" t="s">
        <v>331</v>
      </c>
      <c r="B89" t="s">
        <v>511</v>
      </c>
      <c r="C89" t="s">
        <v>410</v>
      </c>
      <c r="D89" t="s">
        <v>411</v>
      </c>
    </row>
    <row r="90">
      <c r="A90" t="s">
        <v>331</v>
      </c>
      <c r="B90" t="s">
        <v>512</v>
      </c>
      <c r="C90" t="s">
        <v>410</v>
      </c>
      <c r="D90" t="s">
        <v>411</v>
      </c>
    </row>
    <row r="91">
      <c r="A91" t="s">
        <v>331</v>
      </c>
      <c r="B91" t="s">
        <v>513</v>
      </c>
      <c r="C91" t="s">
        <v>413</v>
      </c>
      <c r="D91" t="s">
        <v>411</v>
      </c>
    </row>
    <row r="92">
      <c r="A92" t="s">
        <v>331</v>
      </c>
      <c r="B92" t="s">
        <v>514</v>
      </c>
      <c r="C92" t="s">
        <v>413</v>
      </c>
      <c r="D92" t="s">
        <v>411</v>
      </c>
    </row>
    <row r="93">
      <c r="A93" t="s">
        <v>331</v>
      </c>
      <c r="B93" t="s">
        <v>515</v>
      </c>
      <c r="C93" t="s">
        <v>410</v>
      </c>
      <c r="D93" t="s">
        <v>411</v>
      </c>
    </row>
    <row r="94">
      <c r="A94" t="s">
        <v>331</v>
      </c>
      <c r="B94" t="s">
        <v>516</v>
      </c>
      <c r="C94" t="s">
        <v>517</v>
      </c>
      <c r="D94" t="s">
        <v>411</v>
      </c>
    </row>
    <row r="95">
      <c r="A95" t="s">
        <v>331</v>
      </c>
      <c r="B95" t="s">
        <v>518</v>
      </c>
      <c r="C95" t="s">
        <v>507</v>
      </c>
      <c r="D95" t="s">
        <v>411</v>
      </c>
    </row>
    <row r="96">
      <c r="A96" t="s">
        <v>331</v>
      </c>
      <c r="B96" t="s">
        <v>519</v>
      </c>
      <c r="C96" t="s">
        <v>492</v>
      </c>
      <c r="D96" t="s">
        <v>411</v>
      </c>
    </row>
    <row r="97">
      <c r="A97" t="s">
        <v>331</v>
      </c>
      <c r="B97" t="s">
        <v>520</v>
      </c>
      <c r="C97" t="s">
        <v>473</v>
      </c>
      <c r="D97" t="s">
        <v>411</v>
      </c>
    </row>
    <row r="98">
      <c r="A98" t="s">
        <v>331</v>
      </c>
      <c r="B98" t="s">
        <v>521</v>
      </c>
      <c r="C98" t="s">
        <v>473</v>
      </c>
      <c r="D98" t="s">
        <v>411</v>
      </c>
    </row>
    <row r="99">
      <c r="A99" t="s">
        <v>331</v>
      </c>
      <c r="B99" t="s">
        <v>522</v>
      </c>
      <c r="C99" t="s">
        <v>473</v>
      </c>
      <c r="D99" t="s">
        <v>411</v>
      </c>
    </row>
    <row r="100">
      <c r="A100" t="s">
        <v>331</v>
      </c>
      <c r="B100" t="s">
        <v>523</v>
      </c>
      <c r="C100" t="s">
        <v>473</v>
      </c>
      <c r="D100" t="s">
        <v>411</v>
      </c>
    </row>
    <row r="101">
      <c r="A101" t="s">
        <v>331</v>
      </c>
      <c r="B101" t="s">
        <v>524</v>
      </c>
      <c r="C101" t="s">
        <v>473</v>
      </c>
      <c r="D101" t="s">
        <v>411</v>
      </c>
    </row>
    <row r="102">
      <c r="A102" t="s">
        <v>331</v>
      </c>
      <c r="B102" t="s">
        <v>525</v>
      </c>
      <c r="C102" t="s">
        <v>473</v>
      </c>
      <c r="D102" t="s">
        <v>411</v>
      </c>
    </row>
    <row r="103">
      <c r="A103" t="s">
        <v>331</v>
      </c>
      <c r="B103" t="s">
        <v>526</v>
      </c>
      <c r="C103" t="s">
        <v>473</v>
      </c>
      <c r="D103" t="s">
        <v>411</v>
      </c>
    </row>
    <row r="104">
      <c r="A104" t="s">
        <v>331</v>
      </c>
      <c r="B104" t="s">
        <v>527</v>
      </c>
      <c r="C104" t="s">
        <v>473</v>
      </c>
      <c r="D104" t="s">
        <v>411</v>
      </c>
    </row>
    <row r="105">
      <c r="A105" t="s">
        <v>331</v>
      </c>
      <c r="B105" t="s">
        <v>528</v>
      </c>
      <c r="C105" t="s">
        <v>473</v>
      </c>
      <c r="D105" t="s">
        <v>411</v>
      </c>
    </row>
    <row r="106">
      <c r="A106" t="s">
        <v>331</v>
      </c>
      <c r="B106" t="s">
        <v>529</v>
      </c>
      <c r="C106" t="s">
        <v>473</v>
      </c>
      <c r="D106" t="s">
        <v>411</v>
      </c>
    </row>
    <row r="107">
      <c r="A107" t="s">
        <v>331</v>
      </c>
      <c r="B107" t="s">
        <v>530</v>
      </c>
      <c r="C107" t="s">
        <v>473</v>
      </c>
      <c r="D107" t="s">
        <v>411</v>
      </c>
    </row>
    <row r="108">
      <c r="A108" t="s">
        <v>331</v>
      </c>
      <c r="B108" t="s">
        <v>531</v>
      </c>
      <c r="C108" t="s">
        <v>473</v>
      </c>
      <c r="D108" t="s">
        <v>411</v>
      </c>
    </row>
    <row r="109">
      <c r="A109" t="s">
        <v>331</v>
      </c>
      <c r="B109" t="s">
        <v>532</v>
      </c>
      <c r="C109" t="s">
        <v>487</v>
      </c>
      <c r="D109" t="s">
        <v>411</v>
      </c>
    </row>
    <row r="110">
      <c r="A110" t="s">
        <v>331</v>
      </c>
      <c r="B110" t="s">
        <v>533</v>
      </c>
      <c r="C110" t="s">
        <v>534</v>
      </c>
      <c r="D110" t="s">
        <v>411</v>
      </c>
    </row>
    <row r="111">
      <c r="A111" t="s">
        <v>331</v>
      </c>
      <c r="B111" t="s">
        <v>535</v>
      </c>
      <c r="C111" t="s">
        <v>536</v>
      </c>
      <c r="D111" t="s">
        <v>411</v>
      </c>
    </row>
    <row r="112">
      <c r="A112" t="s">
        <v>331</v>
      </c>
      <c r="B112" t="s">
        <v>535</v>
      </c>
      <c r="C112" t="s">
        <v>492</v>
      </c>
      <c r="D112" t="s">
        <v>411</v>
      </c>
    </row>
    <row r="113">
      <c r="A113" t="s">
        <v>331</v>
      </c>
      <c r="B113" t="s">
        <v>537</v>
      </c>
      <c r="C113" t="s">
        <v>473</v>
      </c>
      <c r="D113" t="s">
        <v>411</v>
      </c>
    </row>
    <row r="114">
      <c r="A114" t="s">
        <v>331</v>
      </c>
      <c r="B114" t="s">
        <v>538</v>
      </c>
      <c r="C114" t="s">
        <v>473</v>
      </c>
      <c r="D114" t="s">
        <v>411</v>
      </c>
    </row>
    <row r="115">
      <c r="A115" t="s">
        <v>331</v>
      </c>
      <c r="B115" t="s">
        <v>539</v>
      </c>
      <c r="C115" t="s">
        <v>473</v>
      </c>
      <c r="D115" t="s">
        <v>411</v>
      </c>
    </row>
    <row r="116">
      <c r="A116" t="s">
        <v>331</v>
      </c>
      <c r="B116" t="s">
        <v>540</v>
      </c>
      <c r="C116" t="s">
        <v>473</v>
      </c>
      <c r="D116" t="s">
        <v>411</v>
      </c>
    </row>
    <row r="117">
      <c r="A117" t="s">
        <v>331</v>
      </c>
      <c r="B117" t="s">
        <v>541</v>
      </c>
      <c r="C117" t="s">
        <v>473</v>
      </c>
      <c r="D117" t="s">
        <v>411</v>
      </c>
    </row>
    <row r="118">
      <c r="A118" t="s">
        <v>331</v>
      </c>
      <c r="B118" t="s">
        <v>542</v>
      </c>
      <c r="C118" t="s">
        <v>473</v>
      </c>
      <c r="D118" t="s">
        <v>411</v>
      </c>
    </row>
    <row r="119">
      <c r="A119" t="s">
        <v>331</v>
      </c>
      <c r="B119" t="s">
        <v>543</v>
      </c>
      <c r="C119" t="s">
        <v>473</v>
      </c>
      <c r="D119" t="s">
        <v>411</v>
      </c>
    </row>
    <row r="120">
      <c r="A120" t="s">
        <v>331</v>
      </c>
      <c r="B120" t="s">
        <v>544</v>
      </c>
      <c r="C120" t="s">
        <v>473</v>
      </c>
      <c r="D120" t="s">
        <v>411</v>
      </c>
    </row>
    <row r="121">
      <c r="A121" t="s">
        <v>331</v>
      </c>
      <c r="B121" t="s">
        <v>545</v>
      </c>
      <c r="C121" t="s">
        <v>473</v>
      </c>
      <c r="D121" t="s">
        <v>411</v>
      </c>
    </row>
    <row r="122">
      <c r="A122" t="s">
        <v>331</v>
      </c>
      <c r="B122" t="s">
        <v>546</v>
      </c>
      <c r="C122" t="s">
        <v>473</v>
      </c>
      <c r="D122" t="s">
        <v>411</v>
      </c>
    </row>
    <row r="123">
      <c r="A123" t="s">
        <v>331</v>
      </c>
      <c r="B123" t="s">
        <v>547</v>
      </c>
      <c r="C123" t="s">
        <v>473</v>
      </c>
      <c r="D123" t="s">
        <v>411</v>
      </c>
    </row>
    <row r="124">
      <c r="A124" t="s">
        <v>331</v>
      </c>
      <c r="B124" t="s">
        <v>548</v>
      </c>
      <c r="C124" t="s">
        <v>473</v>
      </c>
      <c r="D124" t="s">
        <v>411</v>
      </c>
    </row>
    <row r="125">
      <c r="A125" t="s">
        <v>331</v>
      </c>
      <c r="B125" t="s">
        <v>549</v>
      </c>
      <c r="C125" t="s">
        <v>473</v>
      </c>
      <c r="D125" t="s">
        <v>411</v>
      </c>
    </row>
    <row r="126">
      <c r="A126" t="s">
        <v>331</v>
      </c>
      <c r="B126" t="s">
        <v>550</v>
      </c>
      <c r="C126" t="s">
        <v>473</v>
      </c>
      <c r="D126" t="s">
        <v>411</v>
      </c>
    </row>
    <row r="127">
      <c r="A127" t="s">
        <v>331</v>
      </c>
      <c r="B127" t="s">
        <v>551</v>
      </c>
      <c r="C127" t="s">
        <v>473</v>
      </c>
      <c r="D127" t="s">
        <v>411</v>
      </c>
    </row>
    <row r="128">
      <c r="A128" t="s">
        <v>331</v>
      </c>
      <c r="B128" t="s">
        <v>552</v>
      </c>
      <c r="C128" t="s">
        <v>487</v>
      </c>
      <c r="D128" t="s">
        <v>411</v>
      </c>
    </row>
    <row r="129">
      <c r="A129" t="s">
        <v>331</v>
      </c>
      <c r="B129" t="s">
        <v>553</v>
      </c>
      <c r="C129" t="s">
        <v>465</v>
      </c>
      <c r="D129" t="s">
        <v>411</v>
      </c>
    </row>
    <row r="130">
      <c r="A130" t="s">
        <v>331</v>
      </c>
      <c r="B130" t="s">
        <v>554</v>
      </c>
      <c r="C130" t="s">
        <v>505</v>
      </c>
      <c r="D130" t="s">
        <v>411</v>
      </c>
    </row>
    <row r="131">
      <c r="A131" t="s">
        <v>331</v>
      </c>
      <c r="B131" t="s">
        <v>555</v>
      </c>
      <c r="C131" t="s">
        <v>507</v>
      </c>
      <c r="D131" t="s">
        <v>408</v>
      </c>
    </row>
    <row r="132">
      <c r="A132" t="s">
        <v>331</v>
      </c>
      <c r="B132" t="s">
        <v>556</v>
      </c>
      <c r="C132" t="s">
        <v>507</v>
      </c>
      <c r="D132" t="s">
        <v>408</v>
      </c>
    </row>
    <row r="133">
      <c r="A133" t="s">
        <v>331</v>
      </c>
      <c r="B133" t="s">
        <v>557</v>
      </c>
      <c r="C133" t="s">
        <v>507</v>
      </c>
      <c r="D133" t="s">
        <v>408</v>
      </c>
    </row>
    <row r="134">
      <c r="A134" t="s">
        <v>331</v>
      </c>
      <c r="B134" t="s">
        <v>558</v>
      </c>
      <c r="C134" t="s">
        <v>413</v>
      </c>
      <c r="D134" t="s">
        <v>411</v>
      </c>
    </row>
    <row r="135">
      <c r="A135" t="s">
        <v>333</v>
      </c>
      <c r="B135" t="s">
        <v>559</v>
      </c>
      <c r="C135" t="s">
        <v>489</v>
      </c>
      <c r="D135" t="s">
        <v>408</v>
      </c>
    </row>
    <row r="136">
      <c r="A136" t="s">
        <v>333</v>
      </c>
      <c r="B136" t="s">
        <v>560</v>
      </c>
      <c r="C136" t="s">
        <v>410</v>
      </c>
      <c r="D136" t="s">
        <v>411</v>
      </c>
    </row>
    <row r="137">
      <c r="A137" t="s">
        <v>335</v>
      </c>
      <c r="B137" t="s">
        <v>561</v>
      </c>
      <c r="C137" t="s">
        <v>491</v>
      </c>
      <c r="D137" t="s">
        <v>408</v>
      </c>
    </row>
    <row r="138">
      <c r="A138" t="s">
        <v>335</v>
      </c>
      <c r="B138" t="s">
        <v>562</v>
      </c>
      <c r="C138" t="s">
        <v>410</v>
      </c>
      <c r="D138" t="s">
        <v>411</v>
      </c>
    </row>
    <row r="139">
      <c r="A139" t="s">
        <v>335</v>
      </c>
      <c r="B139" t="s">
        <v>563</v>
      </c>
      <c r="C139" t="s">
        <v>496</v>
      </c>
      <c r="D139" t="s">
        <v>411</v>
      </c>
    </row>
    <row r="140">
      <c r="A140" t="s">
        <v>335</v>
      </c>
      <c r="B140" t="s">
        <v>564</v>
      </c>
      <c r="C140" t="s">
        <v>410</v>
      </c>
      <c r="D140" t="s">
        <v>408</v>
      </c>
    </row>
    <row r="141">
      <c r="A141" t="s">
        <v>335</v>
      </c>
      <c r="B141" t="s">
        <v>565</v>
      </c>
      <c r="C141" t="s">
        <v>410</v>
      </c>
      <c r="D141" t="s">
        <v>408</v>
      </c>
    </row>
    <row r="142">
      <c r="A142" t="s">
        <v>335</v>
      </c>
      <c r="B142" t="s">
        <v>566</v>
      </c>
      <c r="C142" t="s">
        <v>410</v>
      </c>
      <c r="D142" t="s">
        <v>411</v>
      </c>
    </row>
    <row r="143">
      <c r="A143" t="s">
        <v>335</v>
      </c>
      <c r="B143" t="s">
        <v>567</v>
      </c>
      <c r="C143" t="s">
        <v>410</v>
      </c>
      <c r="D143" t="s">
        <v>411</v>
      </c>
    </row>
    <row r="144">
      <c r="A144" t="s">
        <v>335</v>
      </c>
      <c r="B144" t="s">
        <v>568</v>
      </c>
      <c r="C144" t="s">
        <v>489</v>
      </c>
      <c r="D144" t="s">
        <v>408</v>
      </c>
    </row>
    <row r="145">
      <c r="A145" t="s">
        <v>335</v>
      </c>
      <c r="B145" t="s">
        <v>569</v>
      </c>
      <c r="C145" t="s">
        <v>410</v>
      </c>
      <c r="D145" t="s">
        <v>411</v>
      </c>
    </row>
    <row r="146">
      <c r="A146" t="s">
        <v>335</v>
      </c>
      <c r="B146" t="s">
        <v>570</v>
      </c>
      <c r="C146" t="s">
        <v>496</v>
      </c>
      <c r="D146" t="s">
        <v>408</v>
      </c>
    </row>
    <row r="147">
      <c r="A147" t="s">
        <v>337</v>
      </c>
      <c r="B147" t="s">
        <v>571</v>
      </c>
      <c r="C147" t="s">
        <v>505</v>
      </c>
      <c r="D147" t="s">
        <v>408</v>
      </c>
    </row>
    <row r="148">
      <c r="A148" t="s">
        <v>337</v>
      </c>
      <c r="B148" t="s">
        <v>572</v>
      </c>
      <c r="C148" t="s">
        <v>491</v>
      </c>
      <c r="D148" t="s">
        <v>408</v>
      </c>
    </row>
    <row r="149">
      <c r="A149" t="s">
        <v>337</v>
      </c>
      <c r="B149" t="s">
        <v>573</v>
      </c>
      <c r="C149" t="s">
        <v>489</v>
      </c>
      <c r="D149" t="s">
        <v>408</v>
      </c>
    </row>
    <row r="150">
      <c r="A150" t="s">
        <v>337</v>
      </c>
      <c r="B150" t="s">
        <v>574</v>
      </c>
      <c r="C150" t="s">
        <v>491</v>
      </c>
      <c r="D150" t="s">
        <v>408</v>
      </c>
    </row>
    <row r="151">
      <c r="A151" t="s">
        <v>337</v>
      </c>
      <c r="B151" t="s">
        <v>575</v>
      </c>
      <c r="C151" t="s">
        <v>491</v>
      </c>
      <c r="D151" t="s">
        <v>408</v>
      </c>
    </row>
    <row r="152">
      <c r="A152" t="s">
        <v>339</v>
      </c>
      <c r="B152" t="s">
        <v>576</v>
      </c>
      <c r="C152" t="s">
        <v>473</v>
      </c>
      <c r="D152" t="s">
        <v>411</v>
      </c>
    </row>
    <row r="153">
      <c r="A153" t="s">
        <v>339</v>
      </c>
      <c r="B153" t="s">
        <v>577</v>
      </c>
      <c r="C153" t="s">
        <v>473</v>
      </c>
      <c r="D153" t="s">
        <v>411</v>
      </c>
    </row>
    <row r="154">
      <c r="A154" t="s">
        <v>339</v>
      </c>
      <c r="B154" t="s">
        <v>578</v>
      </c>
      <c r="C154" t="s">
        <v>473</v>
      </c>
      <c r="D154" t="s">
        <v>411</v>
      </c>
    </row>
    <row r="155">
      <c r="A155" t="s">
        <v>339</v>
      </c>
      <c r="B155" t="s">
        <v>579</v>
      </c>
      <c r="C155" t="s">
        <v>473</v>
      </c>
      <c r="D155" t="s">
        <v>411</v>
      </c>
    </row>
    <row r="156">
      <c r="A156" t="s">
        <v>339</v>
      </c>
      <c r="B156" t="s">
        <v>580</v>
      </c>
      <c r="C156" t="s">
        <v>473</v>
      </c>
      <c r="D156" t="s">
        <v>411</v>
      </c>
    </row>
    <row r="157">
      <c r="A157" t="s">
        <v>339</v>
      </c>
      <c r="B157" t="s">
        <v>581</v>
      </c>
      <c r="C157" t="s">
        <v>473</v>
      </c>
      <c r="D157" t="s">
        <v>411</v>
      </c>
    </row>
    <row r="158">
      <c r="A158" t="s">
        <v>339</v>
      </c>
      <c r="B158" t="s">
        <v>582</v>
      </c>
      <c r="C158" t="s">
        <v>410</v>
      </c>
      <c r="D158" t="s">
        <v>411</v>
      </c>
    </row>
    <row r="159">
      <c r="A159" t="s">
        <v>339</v>
      </c>
      <c r="B159" t="s">
        <v>583</v>
      </c>
      <c r="C159" t="s">
        <v>410</v>
      </c>
      <c r="D159" t="s">
        <v>411</v>
      </c>
    </row>
    <row r="160">
      <c r="A160" t="s">
        <v>339</v>
      </c>
      <c r="B160" t="s">
        <v>584</v>
      </c>
      <c r="C160" t="s">
        <v>410</v>
      </c>
      <c r="D160" t="s">
        <v>411</v>
      </c>
    </row>
    <row r="161">
      <c r="A161" t="s">
        <v>339</v>
      </c>
      <c r="B161" t="s">
        <v>585</v>
      </c>
      <c r="C161" t="s">
        <v>410</v>
      </c>
      <c r="D161" t="s">
        <v>411</v>
      </c>
    </row>
    <row r="162">
      <c r="A162" t="s">
        <v>339</v>
      </c>
      <c r="B162" t="s">
        <v>586</v>
      </c>
      <c r="C162" t="s">
        <v>410</v>
      </c>
      <c r="D162" t="s">
        <v>411</v>
      </c>
    </row>
    <row r="163">
      <c r="A163" t="s">
        <v>339</v>
      </c>
      <c r="B163" t="s">
        <v>587</v>
      </c>
      <c r="C163" t="s">
        <v>410</v>
      </c>
      <c r="D163" t="s">
        <v>411</v>
      </c>
    </row>
    <row r="164">
      <c r="A164" t="s">
        <v>339</v>
      </c>
      <c r="B164" t="s">
        <v>588</v>
      </c>
      <c r="C164" t="s">
        <v>410</v>
      </c>
      <c r="D164" t="s">
        <v>411</v>
      </c>
    </row>
    <row r="165">
      <c r="A165" t="s">
        <v>339</v>
      </c>
      <c r="B165" t="s">
        <v>589</v>
      </c>
      <c r="C165" t="s">
        <v>410</v>
      </c>
      <c r="D165" t="s">
        <v>411</v>
      </c>
    </row>
    <row r="166">
      <c r="A166" t="s">
        <v>339</v>
      </c>
      <c r="B166" t="s">
        <v>590</v>
      </c>
      <c r="C166" t="s">
        <v>410</v>
      </c>
      <c r="D166" t="s">
        <v>411</v>
      </c>
    </row>
    <row r="167">
      <c r="A167" t="s">
        <v>339</v>
      </c>
      <c r="B167" t="s">
        <v>591</v>
      </c>
      <c r="C167" t="s">
        <v>410</v>
      </c>
      <c r="D167" t="s">
        <v>411</v>
      </c>
    </row>
    <row r="168">
      <c r="A168" t="s">
        <v>339</v>
      </c>
      <c r="B168" t="s">
        <v>592</v>
      </c>
      <c r="C168" t="s">
        <v>473</v>
      </c>
      <c r="D168" t="s">
        <v>411</v>
      </c>
    </row>
    <row r="169">
      <c r="A169" t="s">
        <v>339</v>
      </c>
      <c r="B169" t="s">
        <v>593</v>
      </c>
      <c r="C169" t="s">
        <v>473</v>
      </c>
      <c r="D169" t="s">
        <v>411</v>
      </c>
    </row>
    <row r="170">
      <c r="A170" t="s">
        <v>339</v>
      </c>
      <c r="B170" t="s">
        <v>594</v>
      </c>
      <c r="C170" t="s">
        <v>487</v>
      </c>
      <c r="D170" t="s">
        <v>411</v>
      </c>
    </row>
    <row r="171">
      <c r="A171" t="s">
        <v>339</v>
      </c>
      <c r="B171" t="s">
        <v>595</v>
      </c>
      <c r="C171" t="s">
        <v>465</v>
      </c>
      <c r="D171" t="s">
        <v>411</v>
      </c>
    </row>
    <row r="172">
      <c r="A172" t="s">
        <v>339</v>
      </c>
      <c r="B172" t="s">
        <v>596</v>
      </c>
      <c r="C172" t="s">
        <v>505</v>
      </c>
      <c r="D172" t="s">
        <v>411</v>
      </c>
    </row>
    <row r="173">
      <c r="A173" t="s">
        <v>339</v>
      </c>
      <c r="B173" t="s">
        <v>509</v>
      </c>
      <c r="C173" t="s">
        <v>507</v>
      </c>
      <c r="D173" t="s">
        <v>408</v>
      </c>
    </row>
    <row r="174">
      <c r="A174" t="s">
        <v>339</v>
      </c>
      <c r="B174" t="s">
        <v>597</v>
      </c>
      <c r="C174" t="s">
        <v>410</v>
      </c>
      <c r="D174" t="s">
        <v>411</v>
      </c>
    </row>
    <row r="175">
      <c r="A175" t="s">
        <v>339</v>
      </c>
      <c r="B175" t="s">
        <v>598</v>
      </c>
      <c r="C175" t="s">
        <v>413</v>
      </c>
      <c r="D175" t="s">
        <v>411</v>
      </c>
    </row>
    <row r="176">
      <c r="A176" t="s">
        <v>339</v>
      </c>
      <c r="B176" t="s">
        <v>599</v>
      </c>
      <c r="C176" t="s">
        <v>413</v>
      </c>
      <c r="D176" t="s">
        <v>411</v>
      </c>
    </row>
    <row r="177">
      <c r="A177" t="s">
        <v>339</v>
      </c>
      <c r="B177" t="s">
        <v>600</v>
      </c>
      <c r="C177" t="s">
        <v>413</v>
      </c>
      <c r="D177" t="s">
        <v>411</v>
      </c>
    </row>
    <row r="178">
      <c r="A178" t="s">
        <v>339</v>
      </c>
      <c r="B178" t="s">
        <v>601</v>
      </c>
      <c r="C178" t="s">
        <v>413</v>
      </c>
      <c r="D178" t="s">
        <v>411</v>
      </c>
    </row>
    <row r="179">
      <c r="A179" t="s">
        <v>339</v>
      </c>
      <c r="B179" t="s">
        <v>602</v>
      </c>
      <c r="C179" t="s">
        <v>413</v>
      </c>
      <c r="D179" t="s">
        <v>411</v>
      </c>
    </row>
    <row r="180">
      <c r="A180" t="s">
        <v>339</v>
      </c>
      <c r="B180" t="s">
        <v>603</v>
      </c>
      <c r="C180" t="s">
        <v>410</v>
      </c>
      <c r="D180" t="s">
        <v>411</v>
      </c>
    </row>
    <row r="181">
      <c r="A181" t="s">
        <v>339</v>
      </c>
      <c r="B181" t="s">
        <v>604</v>
      </c>
      <c r="C181" t="s">
        <v>410</v>
      </c>
      <c r="D181" t="s">
        <v>411</v>
      </c>
    </row>
    <row r="182">
      <c r="A182" t="s">
        <v>339</v>
      </c>
      <c r="B182" t="s">
        <v>328</v>
      </c>
      <c r="C182" t="s">
        <v>605</v>
      </c>
      <c r="D182" t="s">
        <v>408</v>
      </c>
    </row>
    <row r="183">
      <c r="A183" t="s">
        <v>339</v>
      </c>
      <c r="B183" t="s">
        <v>606</v>
      </c>
      <c r="C183" t="s">
        <v>517</v>
      </c>
      <c r="D183" t="s">
        <v>411</v>
      </c>
    </row>
    <row r="184">
      <c r="A184" t="s">
        <v>339</v>
      </c>
      <c r="B184" t="s">
        <v>607</v>
      </c>
      <c r="C184" t="s">
        <v>507</v>
      </c>
      <c r="D184" t="s">
        <v>411</v>
      </c>
    </row>
    <row r="185">
      <c r="A185" t="s">
        <v>339</v>
      </c>
      <c r="B185" t="s">
        <v>608</v>
      </c>
      <c r="C185" t="s">
        <v>492</v>
      </c>
      <c r="D185" t="s">
        <v>411</v>
      </c>
    </row>
    <row r="186">
      <c r="A186" t="s">
        <v>339</v>
      </c>
      <c r="B186" t="s">
        <v>609</v>
      </c>
      <c r="C186" t="s">
        <v>473</v>
      </c>
      <c r="D186" t="s">
        <v>411</v>
      </c>
    </row>
    <row r="187">
      <c r="A187" t="s">
        <v>339</v>
      </c>
      <c r="B187" t="s">
        <v>610</v>
      </c>
      <c r="C187" t="s">
        <v>473</v>
      </c>
      <c r="D187" t="s">
        <v>411</v>
      </c>
    </row>
    <row r="188">
      <c r="A188" t="s">
        <v>339</v>
      </c>
      <c r="B188" t="s">
        <v>611</v>
      </c>
      <c r="C188" t="s">
        <v>473</v>
      </c>
      <c r="D188" t="s">
        <v>411</v>
      </c>
    </row>
    <row r="189">
      <c r="A189" t="s">
        <v>339</v>
      </c>
      <c r="B189" t="s">
        <v>612</v>
      </c>
      <c r="C189" t="s">
        <v>473</v>
      </c>
      <c r="D189" t="s">
        <v>411</v>
      </c>
    </row>
    <row r="190">
      <c r="A190" t="s">
        <v>339</v>
      </c>
      <c r="B190" t="s">
        <v>613</v>
      </c>
      <c r="C190" t="s">
        <v>473</v>
      </c>
      <c r="D190" t="s">
        <v>411</v>
      </c>
    </row>
    <row r="191">
      <c r="A191" t="s">
        <v>339</v>
      </c>
      <c r="B191" t="s">
        <v>614</v>
      </c>
      <c r="C191" t="s">
        <v>473</v>
      </c>
      <c r="D191" t="s">
        <v>411</v>
      </c>
    </row>
    <row r="192">
      <c r="A192" t="s">
        <v>339</v>
      </c>
      <c r="B192" t="s">
        <v>615</v>
      </c>
      <c r="C192" t="s">
        <v>473</v>
      </c>
      <c r="D192" t="s">
        <v>411</v>
      </c>
    </row>
    <row r="193">
      <c r="A193" t="s">
        <v>339</v>
      </c>
      <c r="B193" t="s">
        <v>616</v>
      </c>
      <c r="C193" t="s">
        <v>473</v>
      </c>
      <c r="D193" t="s">
        <v>411</v>
      </c>
    </row>
    <row r="194">
      <c r="A194" t="s">
        <v>339</v>
      </c>
      <c r="B194" t="s">
        <v>617</v>
      </c>
      <c r="C194" t="s">
        <v>487</v>
      </c>
      <c r="D194" t="s">
        <v>411</v>
      </c>
    </row>
    <row r="195">
      <c r="A195" t="s">
        <v>339</v>
      </c>
      <c r="B195" t="s">
        <v>618</v>
      </c>
      <c r="C195" t="s">
        <v>534</v>
      </c>
      <c r="D195" t="s">
        <v>411</v>
      </c>
    </row>
    <row r="196">
      <c r="A196" t="s">
        <v>339</v>
      </c>
      <c r="B196" t="s">
        <v>619</v>
      </c>
      <c r="C196" t="s">
        <v>492</v>
      </c>
      <c r="D196" t="s">
        <v>411</v>
      </c>
    </row>
    <row r="197">
      <c r="A197" t="s">
        <v>339</v>
      </c>
      <c r="B197" t="s">
        <v>620</v>
      </c>
      <c r="C197" t="s">
        <v>621</v>
      </c>
      <c r="D197" t="s">
        <v>411</v>
      </c>
    </row>
    <row r="198">
      <c r="A198" t="s">
        <v>339</v>
      </c>
      <c r="B198" t="s">
        <v>622</v>
      </c>
      <c r="C198" t="s">
        <v>623</v>
      </c>
      <c r="D198" t="s">
        <v>411</v>
      </c>
    </row>
    <row r="199">
      <c r="A199" t="s">
        <v>339</v>
      </c>
      <c r="B199" t="s">
        <v>624</v>
      </c>
      <c r="C199" t="s">
        <v>536</v>
      </c>
      <c r="D199" t="s">
        <v>411</v>
      </c>
    </row>
    <row r="200">
      <c r="A200" t="s">
        <v>339</v>
      </c>
      <c r="B200" t="s">
        <v>624</v>
      </c>
      <c r="C200" t="s">
        <v>492</v>
      </c>
      <c r="D200" t="s">
        <v>411</v>
      </c>
    </row>
    <row r="201">
      <c r="A201" t="s">
        <v>339</v>
      </c>
      <c r="B201" t="s">
        <v>625</v>
      </c>
      <c r="C201" t="s">
        <v>473</v>
      </c>
      <c r="D201" t="s">
        <v>411</v>
      </c>
    </row>
    <row r="202">
      <c r="A202" t="s">
        <v>339</v>
      </c>
      <c r="B202" t="s">
        <v>626</v>
      </c>
      <c r="C202" t="s">
        <v>473</v>
      </c>
      <c r="D202" t="s">
        <v>411</v>
      </c>
    </row>
    <row r="203">
      <c r="A203" t="s">
        <v>339</v>
      </c>
      <c r="B203" t="s">
        <v>627</v>
      </c>
      <c r="C203" t="s">
        <v>473</v>
      </c>
      <c r="D203" t="s">
        <v>411</v>
      </c>
    </row>
    <row r="204">
      <c r="A204" t="s">
        <v>339</v>
      </c>
      <c r="B204" t="s">
        <v>628</v>
      </c>
      <c r="C204" t="s">
        <v>473</v>
      </c>
      <c r="D204" t="s">
        <v>411</v>
      </c>
    </row>
    <row r="205">
      <c r="A205" t="s">
        <v>339</v>
      </c>
      <c r="B205" t="s">
        <v>629</v>
      </c>
      <c r="C205" t="s">
        <v>473</v>
      </c>
      <c r="D205" t="s">
        <v>411</v>
      </c>
    </row>
    <row r="206">
      <c r="A206" t="s">
        <v>339</v>
      </c>
      <c r="B206" t="s">
        <v>630</v>
      </c>
      <c r="C206" t="s">
        <v>473</v>
      </c>
      <c r="D206" t="s">
        <v>411</v>
      </c>
    </row>
    <row r="207">
      <c r="A207" t="s">
        <v>339</v>
      </c>
      <c r="B207" t="s">
        <v>631</v>
      </c>
      <c r="C207" t="s">
        <v>473</v>
      </c>
      <c r="D207" t="s">
        <v>411</v>
      </c>
    </row>
    <row r="208">
      <c r="A208" t="s">
        <v>339</v>
      </c>
      <c r="B208" t="s">
        <v>632</v>
      </c>
      <c r="C208" t="s">
        <v>473</v>
      </c>
      <c r="D208" t="s">
        <v>411</v>
      </c>
    </row>
    <row r="209">
      <c r="A209" t="s">
        <v>339</v>
      </c>
      <c r="B209" t="s">
        <v>633</v>
      </c>
      <c r="C209" t="s">
        <v>473</v>
      </c>
      <c r="D209" t="s">
        <v>411</v>
      </c>
    </row>
    <row r="210">
      <c r="A210" t="s">
        <v>339</v>
      </c>
      <c r="B210" t="s">
        <v>634</v>
      </c>
      <c r="C210" t="s">
        <v>473</v>
      </c>
      <c r="D210" t="s">
        <v>411</v>
      </c>
    </row>
    <row r="211">
      <c r="A211" t="s">
        <v>339</v>
      </c>
      <c r="B211" t="s">
        <v>635</v>
      </c>
      <c r="C211" t="s">
        <v>487</v>
      </c>
      <c r="D211" t="s">
        <v>411</v>
      </c>
    </row>
    <row r="212">
      <c r="A212" t="s">
        <v>339</v>
      </c>
      <c r="B212" t="s">
        <v>636</v>
      </c>
      <c r="C212" t="s">
        <v>517</v>
      </c>
      <c r="D212" t="s">
        <v>411</v>
      </c>
    </row>
    <row r="213">
      <c r="A213" t="s">
        <v>339</v>
      </c>
      <c r="B213" t="s">
        <v>637</v>
      </c>
      <c r="C213" t="s">
        <v>507</v>
      </c>
      <c r="D213" t="s">
        <v>411</v>
      </c>
    </row>
    <row r="214">
      <c r="A214" t="s">
        <v>339</v>
      </c>
      <c r="B214" t="s">
        <v>638</v>
      </c>
      <c r="C214" t="s">
        <v>536</v>
      </c>
      <c r="D214" t="s">
        <v>411</v>
      </c>
    </row>
    <row r="215">
      <c r="A215" t="s">
        <v>339</v>
      </c>
      <c r="B215" t="s">
        <v>638</v>
      </c>
      <c r="C215" t="s">
        <v>492</v>
      </c>
      <c r="D215" t="s">
        <v>411</v>
      </c>
    </row>
    <row r="216">
      <c r="A216" t="s">
        <v>339</v>
      </c>
      <c r="B216" t="s">
        <v>639</v>
      </c>
      <c r="C216" t="s">
        <v>473</v>
      </c>
      <c r="D216" t="s">
        <v>411</v>
      </c>
    </row>
    <row r="217">
      <c r="A217" t="s">
        <v>339</v>
      </c>
      <c r="B217" t="s">
        <v>640</v>
      </c>
      <c r="C217" t="s">
        <v>473</v>
      </c>
      <c r="D217" t="s">
        <v>411</v>
      </c>
    </row>
    <row r="218">
      <c r="A218" t="s">
        <v>339</v>
      </c>
      <c r="B218" t="s">
        <v>641</v>
      </c>
      <c r="C218" t="s">
        <v>473</v>
      </c>
      <c r="D218" t="s">
        <v>411</v>
      </c>
    </row>
    <row r="219">
      <c r="A219" t="s">
        <v>339</v>
      </c>
      <c r="B219" t="s">
        <v>642</v>
      </c>
      <c r="C219" t="s">
        <v>473</v>
      </c>
      <c r="D219" t="s">
        <v>411</v>
      </c>
    </row>
    <row r="220">
      <c r="A220" t="s">
        <v>339</v>
      </c>
      <c r="B220" t="s">
        <v>643</v>
      </c>
      <c r="C220" t="s">
        <v>473</v>
      </c>
      <c r="D220" t="s">
        <v>411</v>
      </c>
    </row>
    <row r="221">
      <c r="A221" t="s">
        <v>339</v>
      </c>
      <c r="B221" t="s">
        <v>644</v>
      </c>
      <c r="C221" t="s">
        <v>473</v>
      </c>
      <c r="D221" t="s">
        <v>411</v>
      </c>
    </row>
    <row r="222">
      <c r="A222" t="s">
        <v>339</v>
      </c>
      <c r="B222" t="s">
        <v>645</v>
      </c>
      <c r="C222" t="s">
        <v>473</v>
      </c>
      <c r="D222" t="s">
        <v>411</v>
      </c>
    </row>
    <row r="223">
      <c r="A223" t="s">
        <v>339</v>
      </c>
      <c r="B223" t="s">
        <v>646</v>
      </c>
      <c r="C223" t="s">
        <v>473</v>
      </c>
      <c r="D223" t="s">
        <v>411</v>
      </c>
    </row>
    <row r="224">
      <c r="A224" t="s">
        <v>339</v>
      </c>
      <c r="B224" t="s">
        <v>647</v>
      </c>
      <c r="C224" t="s">
        <v>473</v>
      </c>
      <c r="D224" t="s">
        <v>411</v>
      </c>
    </row>
    <row r="225">
      <c r="A225" t="s">
        <v>339</v>
      </c>
      <c r="B225" t="s">
        <v>648</v>
      </c>
      <c r="C225" t="s">
        <v>473</v>
      </c>
      <c r="D225" t="s">
        <v>411</v>
      </c>
    </row>
    <row r="226">
      <c r="A226" t="s">
        <v>339</v>
      </c>
      <c r="B226" t="s">
        <v>649</v>
      </c>
      <c r="C226" t="s">
        <v>473</v>
      </c>
      <c r="D226" t="s">
        <v>411</v>
      </c>
    </row>
    <row r="227">
      <c r="A227" t="s">
        <v>339</v>
      </c>
      <c r="B227" t="s">
        <v>650</v>
      </c>
      <c r="C227" t="s">
        <v>487</v>
      </c>
      <c r="D227" t="s">
        <v>411</v>
      </c>
    </row>
    <row r="228">
      <c r="A228" t="s">
        <v>339</v>
      </c>
      <c r="B228" t="s">
        <v>651</v>
      </c>
      <c r="C228" t="s">
        <v>536</v>
      </c>
      <c r="D228" t="s">
        <v>411</v>
      </c>
    </row>
    <row r="229">
      <c r="A229" t="s">
        <v>339</v>
      </c>
      <c r="B229" t="s">
        <v>651</v>
      </c>
      <c r="C229" t="s">
        <v>492</v>
      </c>
      <c r="D229" t="s">
        <v>411</v>
      </c>
    </row>
    <row r="230">
      <c r="A230" t="s">
        <v>339</v>
      </c>
      <c r="B230" t="s">
        <v>652</v>
      </c>
      <c r="C230" t="s">
        <v>473</v>
      </c>
      <c r="D230" t="s">
        <v>411</v>
      </c>
    </row>
    <row r="231">
      <c r="A231" t="s">
        <v>339</v>
      </c>
      <c r="B231" t="s">
        <v>653</v>
      </c>
      <c r="C231" t="s">
        <v>473</v>
      </c>
      <c r="D231" t="s">
        <v>411</v>
      </c>
    </row>
    <row r="232">
      <c r="A232" t="s">
        <v>341</v>
      </c>
      <c r="B232" t="s">
        <v>654</v>
      </c>
      <c r="C232" t="s">
        <v>417</v>
      </c>
      <c r="D232" t="s">
        <v>411</v>
      </c>
    </row>
    <row r="233">
      <c r="A233" t="s">
        <v>341</v>
      </c>
      <c r="B233" t="s">
        <v>655</v>
      </c>
      <c r="C233" t="s">
        <v>496</v>
      </c>
      <c r="D233" t="s">
        <v>408</v>
      </c>
    </row>
    <row r="234">
      <c r="A234" t="s">
        <v>341</v>
      </c>
      <c r="B234" t="s">
        <v>656</v>
      </c>
      <c r="C234" t="s">
        <v>419</v>
      </c>
      <c r="D234" t="s">
        <v>411</v>
      </c>
    </row>
    <row r="235">
      <c r="A235" t="s">
        <v>341</v>
      </c>
      <c r="B235" t="s">
        <v>657</v>
      </c>
      <c r="C235" t="s">
        <v>419</v>
      </c>
      <c r="D235" t="s">
        <v>411</v>
      </c>
    </row>
    <row r="236">
      <c r="A236" t="s">
        <v>341</v>
      </c>
      <c r="B236" t="s">
        <v>658</v>
      </c>
      <c r="C236" t="s">
        <v>419</v>
      </c>
      <c r="D236" t="s">
        <v>411</v>
      </c>
    </row>
    <row r="237">
      <c r="A237" t="s">
        <v>341</v>
      </c>
      <c r="B237" t="s">
        <v>659</v>
      </c>
      <c r="C237" t="s">
        <v>419</v>
      </c>
      <c r="D237" t="s">
        <v>411</v>
      </c>
    </row>
    <row r="238">
      <c r="A238" t="s">
        <v>341</v>
      </c>
      <c r="B238" t="s">
        <v>660</v>
      </c>
      <c r="C238" t="s">
        <v>419</v>
      </c>
      <c r="D238" t="s">
        <v>411</v>
      </c>
    </row>
    <row r="239">
      <c r="A239" t="s">
        <v>341</v>
      </c>
      <c r="B239" t="s">
        <v>661</v>
      </c>
      <c r="C239" t="s">
        <v>419</v>
      </c>
      <c r="D239" t="s">
        <v>411</v>
      </c>
    </row>
    <row r="240">
      <c r="A240" t="s">
        <v>341</v>
      </c>
      <c r="B240" t="s">
        <v>662</v>
      </c>
      <c r="C240" t="s">
        <v>473</v>
      </c>
      <c r="D240" t="s">
        <v>411</v>
      </c>
    </row>
    <row r="241">
      <c r="A241" t="s">
        <v>341</v>
      </c>
      <c r="B241" t="s">
        <v>663</v>
      </c>
      <c r="C241" t="s">
        <v>473</v>
      </c>
      <c r="D241" t="s">
        <v>411</v>
      </c>
    </row>
    <row r="242">
      <c r="A242" t="s">
        <v>341</v>
      </c>
      <c r="B242" t="s">
        <v>664</v>
      </c>
      <c r="C242" t="s">
        <v>487</v>
      </c>
      <c r="D242" t="s">
        <v>408</v>
      </c>
    </row>
    <row r="243">
      <c r="A243" t="s">
        <v>341</v>
      </c>
      <c r="B243" t="s">
        <v>665</v>
      </c>
      <c r="C243" t="s">
        <v>489</v>
      </c>
      <c r="D243" t="s">
        <v>408</v>
      </c>
    </row>
    <row r="244">
      <c r="A244" t="s">
        <v>341</v>
      </c>
      <c r="B244" t="s">
        <v>666</v>
      </c>
      <c r="C244" t="s">
        <v>473</v>
      </c>
      <c r="D244" t="s">
        <v>411</v>
      </c>
    </row>
    <row r="245">
      <c r="A245" t="s">
        <v>341</v>
      </c>
      <c r="B245" t="s">
        <v>667</v>
      </c>
      <c r="C245" t="s">
        <v>473</v>
      </c>
      <c r="D245" t="s">
        <v>411</v>
      </c>
    </row>
    <row r="246">
      <c r="A246" t="s">
        <v>341</v>
      </c>
      <c r="B246" t="s">
        <v>668</v>
      </c>
      <c r="C246" t="s">
        <v>473</v>
      </c>
      <c r="D246" t="s">
        <v>411</v>
      </c>
    </row>
    <row r="247">
      <c r="A247" t="s">
        <v>341</v>
      </c>
      <c r="B247" t="s">
        <v>669</v>
      </c>
      <c r="C247" t="s">
        <v>419</v>
      </c>
      <c r="D247" t="s">
        <v>411</v>
      </c>
    </row>
    <row r="248">
      <c r="A248" t="s">
        <v>343</v>
      </c>
      <c r="B248" t="s">
        <v>670</v>
      </c>
      <c r="C248" t="s">
        <v>491</v>
      </c>
      <c r="D248" t="s">
        <v>408</v>
      </c>
    </row>
    <row r="249">
      <c r="A249" t="s">
        <v>343</v>
      </c>
      <c r="B249" t="s">
        <v>671</v>
      </c>
      <c r="C249" t="s">
        <v>491</v>
      </c>
      <c r="D249" t="s">
        <v>408</v>
      </c>
    </row>
    <row r="250">
      <c r="A250" t="s">
        <v>343</v>
      </c>
      <c r="B250" t="s">
        <v>672</v>
      </c>
      <c r="C250" t="s">
        <v>491</v>
      </c>
      <c r="D250" t="s">
        <v>408</v>
      </c>
    </row>
    <row r="251">
      <c r="A251" t="s">
        <v>343</v>
      </c>
      <c r="B251" t="s">
        <v>673</v>
      </c>
      <c r="C251" t="s">
        <v>491</v>
      </c>
      <c r="D251" t="s">
        <v>408</v>
      </c>
    </row>
    <row r="252">
      <c r="A252" t="s">
        <v>344</v>
      </c>
      <c r="B252" t="s">
        <v>674</v>
      </c>
      <c r="C252" t="s">
        <v>491</v>
      </c>
      <c r="D252" t="s">
        <v>408</v>
      </c>
    </row>
    <row r="253">
      <c r="A253" t="s">
        <v>346</v>
      </c>
      <c r="B253" t="s">
        <v>675</v>
      </c>
      <c r="C253" t="s">
        <v>676</v>
      </c>
      <c r="D253" t="s">
        <v>411</v>
      </c>
    </row>
    <row r="254">
      <c r="A254" t="s">
        <v>346</v>
      </c>
      <c r="B254" t="s">
        <v>677</v>
      </c>
      <c r="C254" t="s">
        <v>676</v>
      </c>
      <c r="D254" t="s">
        <v>411</v>
      </c>
    </row>
    <row r="255">
      <c r="A255" t="s">
        <v>346</v>
      </c>
      <c r="B255" t="s">
        <v>678</v>
      </c>
      <c r="C255" t="s">
        <v>676</v>
      </c>
      <c r="D255" t="s">
        <v>411</v>
      </c>
    </row>
    <row r="256">
      <c r="A256" t="s">
        <v>346</v>
      </c>
      <c r="B256" t="s">
        <v>679</v>
      </c>
      <c r="C256" t="s">
        <v>680</v>
      </c>
      <c r="D256" t="s">
        <v>411</v>
      </c>
    </row>
    <row r="257">
      <c r="A257" t="s">
        <v>346</v>
      </c>
      <c r="B257" t="s">
        <v>681</v>
      </c>
      <c r="C257" t="s">
        <v>680</v>
      </c>
      <c r="D257" t="s">
        <v>411</v>
      </c>
    </row>
    <row r="258">
      <c r="A258" t="s">
        <v>346</v>
      </c>
      <c r="B258" t="s">
        <v>682</v>
      </c>
      <c r="C258" t="s">
        <v>683</v>
      </c>
      <c r="D258" t="s">
        <v>411</v>
      </c>
    </row>
    <row r="259">
      <c r="A259" t="s">
        <v>346</v>
      </c>
      <c r="B259" t="s">
        <v>684</v>
      </c>
      <c r="C259" t="s">
        <v>683</v>
      </c>
      <c r="D259" t="s">
        <v>411</v>
      </c>
    </row>
    <row r="260">
      <c r="A260" t="s">
        <v>346</v>
      </c>
      <c r="B260" t="s">
        <v>685</v>
      </c>
      <c r="C260" t="s">
        <v>683</v>
      </c>
      <c r="D260" t="s">
        <v>411</v>
      </c>
    </row>
    <row r="261">
      <c r="A261" t="s">
        <v>346</v>
      </c>
      <c r="B261" t="s">
        <v>686</v>
      </c>
      <c r="C261" t="s">
        <v>683</v>
      </c>
      <c r="D261" t="s">
        <v>411</v>
      </c>
    </row>
    <row r="262">
      <c r="A262" t="s">
        <v>346</v>
      </c>
      <c r="B262" t="s">
        <v>687</v>
      </c>
      <c r="C262" t="s">
        <v>680</v>
      </c>
      <c r="D262" t="s">
        <v>411</v>
      </c>
    </row>
    <row r="263">
      <c r="A263" t="s">
        <v>346</v>
      </c>
      <c r="B263" t="s">
        <v>688</v>
      </c>
      <c r="C263" t="s">
        <v>680</v>
      </c>
      <c r="D263" t="s">
        <v>411</v>
      </c>
    </row>
    <row r="264">
      <c r="A264" t="s">
        <v>346</v>
      </c>
      <c r="B264" t="s">
        <v>689</v>
      </c>
      <c r="C264" t="s">
        <v>680</v>
      </c>
      <c r="D264" t="s">
        <v>411</v>
      </c>
    </row>
    <row r="265">
      <c r="A265" t="s">
        <v>346</v>
      </c>
      <c r="B265" t="s">
        <v>690</v>
      </c>
      <c r="C265" t="s">
        <v>676</v>
      </c>
      <c r="D265" t="s">
        <v>411</v>
      </c>
    </row>
    <row r="266">
      <c r="A266" t="s">
        <v>346</v>
      </c>
      <c r="B266" t="s">
        <v>691</v>
      </c>
      <c r="C266" t="s">
        <v>676</v>
      </c>
      <c r="D266" t="s">
        <v>411</v>
      </c>
    </row>
    <row r="267">
      <c r="A267" t="s">
        <v>349</v>
      </c>
      <c r="B267" t="s">
        <v>406</v>
      </c>
      <c r="C267" t="s">
        <v>407</v>
      </c>
      <c r="D267" t="s">
        <v>411</v>
      </c>
    </row>
    <row r="268">
      <c r="A268" t="s">
        <v>349</v>
      </c>
      <c r="B268" t="s">
        <v>692</v>
      </c>
      <c r="C268" t="s">
        <v>407</v>
      </c>
      <c r="D268" t="s">
        <v>411</v>
      </c>
    </row>
    <row r="269">
      <c r="A269" t="s">
        <v>349</v>
      </c>
      <c r="B269" t="s">
        <v>693</v>
      </c>
      <c r="C269" t="s">
        <v>407</v>
      </c>
      <c r="D269" t="s">
        <v>411</v>
      </c>
    </row>
    <row r="270">
      <c r="A270" t="s">
        <v>349</v>
      </c>
      <c r="B270" t="s">
        <v>694</v>
      </c>
      <c r="C270" t="s">
        <v>676</v>
      </c>
      <c r="D270" t="s">
        <v>411</v>
      </c>
    </row>
    <row r="271">
      <c r="A271" t="s">
        <v>349</v>
      </c>
      <c r="B271" t="s">
        <v>695</v>
      </c>
      <c r="C271" t="s">
        <v>676</v>
      </c>
      <c r="D271" t="s">
        <v>411</v>
      </c>
    </row>
    <row r="272">
      <c r="A272" t="s">
        <v>349</v>
      </c>
      <c r="B272" t="s">
        <v>696</v>
      </c>
      <c r="C272" t="s">
        <v>676</v>
      </c>
      <c r="D272" t="s">
        <v>411</v>
      </c>
    </row>
    <row r="273">
      <c r="A273" t="s">
        <v>349</v>
      </c>
      <c r="B273" t="s">
        <v>697</v>
      </c>
      <c r="C273" t="s">
        <v>676</v>
      </c>
      <c r="D273" t="s">
        <v>411</v>
      </c>
    </row>
    <row r="274">
      <c r="A274" t="s">
        <v>349</v>
      </c>
      <c r="B274" t="s">
        <v>698</v>
      </c>
      <c r="C274" t="s">
        <v>676</v>
      </c>
      <c r="D274" t="s">
        <v>411</v>
      </c>
    </row>
    <row r="275">
      <c r="A275" t="s">
        <v>349</v>
      </c>
      <c r="B275" t="s">
        <v>699</v>
      </c>
      <c r="C275" t="s">
        <v>700</v>
      </c>
      <c r="D275" t="s">
        <v>411</v>
      </c>
    </row>
    <row r="276">
      <c r="A276" t="s">
        <v>349</v>
      </c>
      <c r="B276" t="s">
        <v>701</v>
      </c>
      <c r="C276" t="s">
        <v>700</v>
      </c>
      <c r="D276" t="s">
        <v>411</v>
      </c>
    </row>
    <row r="277">
      <c r="A277" t="s">
        <v>349</v>
      </c>
      <c r="B277" t="s">
        <v>702</v>
      </c>
      <c r="C277" t="s">
        <v>700</v>
      </c>
      <c r="D277" t="s">
        <v>411</v>
      </c>
    </row>
    <row r="278">
      <c r="A278" t="s">
        <v>349</v>
      </c>
      <c r="B278" t="s">
        <v>703</v>
      </c>
      <c r="C278" t="s">
        <v>700</v>
      </c>
      <c r="D278" t="s">
        <v>411</v>
      </c>
    </row>
    <row r="279">
      <c r="A279" t="s">
        <v>349</v>
      </c>
      <c r="B279" t="s">
        <v>704</v>
      </c>
      <c r="C279" t="s">
        <v>700</v>
      </c>
      <c r="D279" t="s">
        <v>411</v>
      </c>
    </row>
    <row r="280">
      <c r="A280" t="s">
        <v>349</v>
      </c>
      <c r="B280" t="s">
        <v>705</v>
      </c>
      <c r="C280" t="s">
        <v>700</v>
      </c>
      <c r="D280" t="s">
        <v>411</v>
      </c>
    </row>
    <row r="281">
      <c r="A281" t="s">
        <v>349</v>
      </c>
      <c r="B281" t="s">
        <v>706</v>
      </c>
      <c r="C281" t="s">
        <v>700</v>
      </c>
      <c r="D281" t="s">
        <v>411</v>
      </c>
    </row>
    <row r="282">
      <c r="A282" t="s">
        <v>349</v>
      </c>
      <c r="B282" t="s">
        <v>707</v>
      </c>
      <c r="C282" t="s">
        <v>700</v>
      </c>
      <c r="D282" t="s">
        <v>411</v>
      </c>
    </row>
    <row r="283">
      <c r="A283" t="s">
        <v>349</v>
      </c>
      <c r="B283" t="s">
        <v>708</v>
      </c>
      <c r="C283" t="s">
        <v>700</v>
      </c>
      <c r="D283" t="s">
        <v>411</v>
      </c>
    </row>
    <row r="284">
      <c r="A284" t="s">
        <v>349</v>
      </c>
      <c r="B284" t="s">
        <v>709</v>
      </c>
      <c r="C284" t="s">
        <v>710</v>
      </c>
      <c r="D284" t="s">
        <v>411</v>
      </c>
    </row>
    <row r="285">
      <c r="A285" t="s">
        <v>349</v>
      </c>
      <c r="B285" t="s">
        <v>711</v>
      </c>
      <c r="C285" t="s">
        <v>710</v>
      </c>
      <c r="D285" t="s">
        <v>411</v>
      </c>
    </row>
    <row r="286">
      <c r="A286" t="s">
        <v>349</v>
      </c>
      <c r="B286" t="s">
        <v>712</v>
      </c>
      <c r="C286" t="s">
        <v>710</v>
      </c>
      <c r="D286" t="s">
        <v>411</v>
      </c>
    </row>
    <row r="287">
      <c r="A287" t="s">
        <v>349</v>
      </c>
      <c r="B287" t="s">
        <v>713</v>
      </c>
      <c r="C287" t="s">
        <v>710</v>
      </c>
      <c r="D287" t="s">
        <v>411</v>
      </c>
    </row>
    <row r="288">
      <c r="A288" t="s">
        <v>349</v>
      </c>
      <c r="B288" t="s">
        <v>714</v>
      </c>
      <c r="C288" t="s">
        <v>710</v>
      </c>
      <c r="D288" t="s">
        <v>411</v>
      </c>
    </row>
    <row r="289">
      <c r="A289" t="s">
        <v>349</v>
      </c>
      <c r="B289" t="s">
        <v>715</v>
      </c>
      <c r="C289" t="s">
        <v>710</v>
      </c>
      <c r="D289" t="s">
        <v>411</v>
      </c>
    </row>
    <row r="290">
      <c r="A290" t="s">
        <v>349</v>
      </c>
      <c r="B290" t="s">
        <v>716</v>
      </c>
      <c r="C290" t="s">
        <v>710</v>
      </c>
      <c r="D290" t="s">
        <v>411</v>
      </c>
    </row>
    <row r="291">
      <c r="A291" t="s">
        <v>349</v>
      </c>
      <c r="B291" t="s">
        <v>717</v>
      </c>
      <c r="C291" t="s">
        <v>710</v>
      </c>
      <c r="D291" t="s">
        <v>411</v>
      </c>
    </row>
    <row r="292">
      <c r="A292" t="s">
        <v>349</v>
      </c>
      <c r="B292" t="s">
        <v>718</v>
      </c>
      <c r="C292" t="s">
        <v>710</v>
      </c>
      <c r="D292" t="s">
        <v>411</v>
      </c>
    </row>
    <row r="293">
      <c r="A293" t="s">
        <v>349</v>
      </c>
      <c r="B293" t="s">
        <v>719</v>
      </c>
      <c r="C293" t="s">
        <v>710</v>
      </c>
      <c r="D293" t="s">
        <v>411</v>
      </c>
    </row>
    <row r="294">
      <c r="A294" t="s">
        <v>349</v>
      </c>
      <c r="B294" t="s">
        <v>720</v>
      </c>
      <c r="C294" t="s">
        <v>710</v>
      </c>
      <c r="D294" t="s">
        <v>411</v>
      </c>
    </row>
    <row r="295">
      <c r="A295" t="s">
        <v>349</v>
      </c>
      <c r="B295" t="s">
        <v>721</v>
      </c>
      <c r="C295" t="s">
        <v>722</v>
      </c>
      <c r="D295" t="s">
        <v>411</v>
      </c>
    </row>
    <row r="296">
      <c r="A296" t="s">
        <v>349</v>
      </c>
      <c r="B296" t="s">
        <v>723</v>
      </c>
      <c r="C296" t="s">
        <v>700</v>
      </c>
      <c r="D296" t="s">
        <v>411</v>
      </c>
    </row>
    <row r="297">
      <c r="A297" t="s">
        <v>349</v>
      </c>
      <c r="B297" t="s">
        <v>724</v>
      </c>
      <c r="C297" t="s">
        <v>700</v>
      </c>
      <c r="D297" t="s">
        <v>411</v>
      </c>
    </row>
    <row r="298">
      <c r="A298" t="s">
        <v>350</v>
      </c>
      <c r="B298" t="s">
        <v>725</v>
      </c>
      <c r="C298" t="s">
        <v>710</v>
      </c>
      <c r="D298" t="s">
        <v>411</v>
      </c>
    </row>
    <row r="299">
      <c r="A299" t="s">
        <v>350</v>
      </c>
      <c r="B299" t="s">
        <v>726</v>
      </c>
      <c r="C299" t="s">
        <v>710</v>
      </c>
      <c r="D299" t="s">
        <v>411</v>
      </c>
    </row>
    <row r="300">
      <c r="A300" t="s">
        <v>350</v>
      </c>
      <c r="B300" t="s">
        <v>727</v>
      </c>
      <c r="C300" t="s">
        <v>710</v>
      </c>
      <c r="D300" t="s">
        <v>411</v>
      </c>
    </row>
    <row r="301">
      <c r="A301" t="s">
        <v>350</v>
      </c>
      <c r="B301" t="s">
        <v>728</v>
      </c>
      <c r="C301" t="s">
        <v>710</v>
      </c>
      <c r="D301" t="s">
        <v>411</v>
      </c>
    </row>
    <row r="302">
      <c r="A302" t="s">
        <v>350</v>
      </c>
      <c r="B302" t="s">
        <v>729</v>
      </c>
      <c r="C302" t="s">
        <v>710</v>
      </c>
      <c r="D302" t="s">
        <v>411</v>
      </c>
    </row>
    <row r="303">
      <c r="A303" t="s">
        <v>350</v>
      </c>
      <c r="B303" t="s">
        <v>730</v>
      </c>
      <c r="C303" t="s">
        <v>710</v>
      </c>
      <c r="D303" t="s">
        <v>411</v>
      </c>
    </row>
    <row r="304">
      <c r="A304" t="s">
        <v>350</v>
      </c>
      <c r="B304" t="s">
        <v>731</v>
      </c>
      <c r="C304" t="s">
        <v>710</v>
      </c>
      <c r="D304" t="s">
        <v>411</v>
      </c>
    </row>
    <row r="305">
      <c r="A305" t="s">
        <v>350</v>
      </c>
      <c r="B305" t="s">
        <v>732</v>
      </c>
      <c r="C305" t="s">
        <v>700</v>
      </c>
      <c r="D305" t="s">
        <v>411</v>
      </c>
    </row>
    <row r="306">
      <c r="A306" t="s">
        <v>350</v>
      </c>
      <c r="B306" t="s">
        <v>733</v>
      </c>
      <c r="C306" t="s">
        <v>700</v>
      </c>
      <c r="D306" t="s">
        <v>411</v>
      </c>
    </row>
    <row r="307">
      <c r="A307" t="s">
        <v>350</v>
      </c>
      <c r="B307" t="s">
        <v>734</v>
      </c>
      <c r="C307" t="s">
        <v>407</v>
      </c>
      <c r="D307" t="s">
        <v>411</v>
      </c>
    </row>
    <row r="308">
      <c r="A308" t="s">
        <v>350</v>
      </c>
      <c r="B308" t="s">
        <v>735</v>
      </c>
      <c r="C308" t="s">
        <v>676</v>
      </c>
      <c r="D308" t="s">
        <v>411</v>
      </c>
    </row>
    <row r="309">
      <c r="A309" t="s">
        <v>350</v>
      </c>
      <c r="B309" t="s">
        <v>736</v>
      </c>
      <c r="C309" t="s">
        <v>676</v>
      </c>
      <c r="D309" t="s">
        <v>411</v>
      </c>
    </row>
    <row r="310">
      <c r="A310" t="s">
        <v>350</v>
      </c>
      <c r="B310" t="s">
        <v>737</v>
      </c>
      <c r="C310" t="s">
        <v>676</v>
      </c>
      <c r="D310" t="s">
        <v>411</v>
      </c>
    </row>
    <row r="311">
      <c r="A311" t="s">
        <v>350</v>
      </c>
      <c r="B311" t="s">
        <v>738</v>
      </c>
      <c r="C311" t="s">
        <v>676</v>
      </c>
      <c r="D311" t="s">
        <v>411</v>
      </c>
    </row>
    <row r="312">
      <c r="A312" t="s">
        <v>350</v>
      </c>
      <c r="B312" t="s">
        <v>739</v>
      </c>
      <c r="C312" t="s">
        <v>676</v>
      </c>
      <c r="D312" t="s">
        <v>411</v>
      </c>
    </row>
    <row r="313">
      <c r="A313" t="s">
        <v>350</v>
      </c>
      <c r="B313" t="s">
        <v>740</v>
      </c>
      <c r="C313" t="s">
        <v>700</v>
      </c>
      <c r="D313" t="s">
        <v>411</v>
      </c>
    </row>
    <row r="314">
      <c r="A314" t="s">
        <v>350</v>
      </c>
      <c r="B314" t="s">
        <v>741</v>
      </c>
      <c r="C314" t="s">
        <v>700</v>
      </c>
      <c r="D314" t="s">
        <v>411</v>
      </c>
    </row>
    <row r="315">
      <c r="A315" t="s">
        <v>350</v>
      </c>
      <c r="B315" t="s">
        <v>742</v>
      </c>
      <c r="C315" t="s">
        <v>700</v>
      </c>
      <c r="D315" t="s">
        <v>411</v>
      </c>
    </row>
    <row r="316">
      <c r="A316" t="s">
        <v>350</v>
      </c>
      <c r="B316" t="s">
        <v>743</v>
      </c>
      <c r="C316" t="s">
        <v>700</v>
      </c>
      <c r="D316" t="s">
        <v>411</v>
      </c>
    </row>
    <row r="317">
      <c r="A317" t="s">
        <v>350</v>
      </c>
      <c r="B317" t="s">
        <v>744</v>
      </c>
      <c r="C317" t="s">
        <v>700</v>
      </c>
      <c r="D317" t="s">
        <v>411</v>
      </c>
    </row>
    <row r="318">
      <c r="A318" t="s">
        <v>350</v>
      </c>
      <c r="B318" t="s">
        <v>745</v>
      </c>
      <c r="C318" t="s">
        <v>700</v>
      </c>
      <c r="D318" t="s">
        <v>411</v>
      </c>
    </row>
    <row r="319">
      <c r="A319" t="s">
        <v>350</v>
      </c>
      <c r="B319" t="s">
        <v>746</v>
      </c>
      <c r="C319" t="s">
        <v>700</v>
      </c>
      <c r="D319" t="s">
        <v>411</v>
      </c>
    </row>
    <row r="320">
      <c r="A320" t="s">
        <v>350</v>
      </c>
      <c r="B320" t="s">
        <v>747</v>
      </c>
      <c r="C320" t="s">
        <v>700</v>
      </c>
      <c r="D320" t="s">
        <v>411</v>
      </c>
    </row>
    <row r="321">
      <c r="A321" t="s">
        <v>350</v>
      </c>
      <c r="B321" t="s">
        <v>748</v>
      </c>
      <c r="C321" t="s">
        <v>710</v>
      </c>
      <c r="D321" t="s">
        <v>411</v>
      </c>
    </row>
    <row r="322">
      <c r="A322" t="s">
        <v>350</v>
      </c>
      <c r="B322" t="s">
        <v>749</v>
      </c>
      <c r="C322" t="s">
        <v>710</v>
      </c>
      <c r="D322" t="s">
        <v>411</v>
      </c>
    </row>
    <row r="323">
      <c r="A323" t="s">
        <v>350</v>
      </c>
      <c r="B323" t="s">
        <v>750</v>
      </c>
      <c r="C323" t="s">
        <v>710</v>
      </c>
      <c r="D323" t="s">
        <v>411</v>
      </c>
    </row>
    <row r="324">
      <c r="A324" t="s">
        <v>350</v>
      </c>
      <c r="B324" t="s">
        <v>751</v>
      </c>
      <c r="C324" t="s">
        <v>710</v>
      </c>
      <c r="D324" t="s">
        <v>411</v>
      </c>
    </row>
    <row r="325">
      <c r="A325" t="s">
        <v>350</v>
      </c>
      <c r="B325" t="s">
        <v>752</v>
      </c>
      <c r="C325" t="s">
        <v>710</v>
      </c>
      <c r="D325" t="s">
        <v>411</v>
      </c>
    </row>
    <row r="326">
      <c r="A326" t="s">
        <v>350</v>
      </c>
      <c r="B326" t="s">
        <v>753</v>
      </c>
      <c r="C326" t="s">
        <v>710</v>
      </c>
      <c r="D326" t="s">
        <v>411</v>
      </c>
    </row>
    <row r="327">
      <c r="A327" t="s">
        <v>350</v>
      </c>
      <c r="B327" t="s">
        <v>754</v>
      </c>
      <c r="C327" t="s">
        <v>722</v>
      </c>
      <c r="D327" t="s">
        <v>411</v>
      </c>
    </row>
    <row r="328">
      <c r="A328" t="s">
        <v>350</v>
      </c>
      <c r="B328" t="s">
        <v>755</v>
      </c>
      <c r="C328" t="s">
        <v>700</v>
      </c>
      <c r="D328" t="s">
        <v>411</v>
      </c>
    </row>
    <row r="329">
      <c r="A329" t="s">
        <v>350</v>
      </c>
      <c r="B329" t="s">
        <v>756</v>
      </c>
      <c r="C329" t="s">
        <v>700</v>
      </c>
      <c r="D329" t="s">
        <v>411</v>
      </c>
    </row>
    <row r="330">
      <c r="A330" t="s">
        <v>350</v>
      </c>
      <c r="B330" t="s">
        <v>757</v>
      </c>
      <c r="C330" t="s">
        <v>407</v>
      </c>
      <c r="D330" t="s">
        <v>411</v>
      </c>
    </row>
    <row r="331">
      <c r="A331" t="s">
        <v>350</v>
      </c>
      <c r="B331" t="s">
        <v>758</v>
      </c>
      <c r="C331" t="s">
        <v>407</v>
      </c>
      <c r="D331" t="s">
        <v>411</v>
      </c>
    </row>
    <row r="332">
      <c r="A332" t="s">
        <v>353</v>
      </c>
      <c r="B332" t="s">
        <v>759</v>
      </c>
      <c r="C332" t="s">
        <v>676</v>
      </c>
      <c r="D332" t="s">
        <v>411</v>
      </c>
    </row>
    <row r="333">
      <c r="A333" t="s">
        <v>353</v>
      </c>
      <c r="B333" t="s">
        <v>760</v>
      </c>
      <c r="C333" t="s">
        <v>680</v>
      </c>
      <c r="D333" t="s">
        <v>411</v>
      </c>
    </row>
    <row r="334">
      <c r="A334" t="s">
        <v>353</v>
      </c>
      <c r="B334" t="s">
        <v>761</v>
      </c>
      <c r="C334" t="s">
        <v>676</v>
      </c>
      <c r="D334" t="s">
        <v>411</v>
      </c>
    </row>
    <row r="335">
      <c r="A335" t="s">
        <v>353</v>
      </c>
      <c r="B335" t="s">
        <v>762</v>
      </c>
      <c r="C335" t="s">
        <v>676</v>
      </c>
      <c r="D335" t="s">
        <v>411</v>
      </c>
    </row>
    <row r="336">
      <c r="A336" t="s">
        <v>353</v>
      </c>
      <c r="B336" t="s">
        <v>763</v>
      </c>
      <c r="C336" t="s">
        <v>676</v>
      </c>
      <c r="D336" t="s">
        <v>411</v>
      </c>
    </row>
    <row r="337">
      <c r="A337" t="s">
        <v>353</v>
      </c>
      <c r="B337" t="s">
        <v>764</v>
      </c>
      <c r="C337" t="s">
        <v>680</v>
      </c>
      <c r="D337" t="s">
        <v>411</v>
      </c>
    </row>
    <row r="338">
      <c r="A338" t="s">
        <v>353</v>
      </c>
      <c r="B338" t="s">
        <v>765</v>
      </c>
      <c r="C338" t="s">
        <v>680</v>
      </c>
      <c r="D338" t="s">
        <v>411</v>
      </c>
    </row>
    <row r="339">
      <c r="A339" t="s">
        <v>353</v>
      </c>
      <c r="B339" t="s">
        <v>766</v>
      </c>
      <c r="C339" t="s">
        <v>683</v>
      </c>
      <c r="D339" t="s">
        <v>411</v>
      </c>
    </row>
    <row r="340">
      <c r="A340" t="s">
        <v>353</v>
      </c>
      <c r="B340" t="s">
        <v>767</v>
      </c>
      <c r="C340" t="s">
        <v>683</v>
      </c>
      <c r="D340" t="s">
        <v>411</v>
      </c>
    </row>
    <row r="341">
      <c r="A341" t="s">
        <v>353</v>
      </c>
      <c r="B341" t="s">
        <v>768</v>
      </c>
      <c r="C341" t="s">
        <v>683</v>
      </c>
      <c r="D341" t="s">
        <v>411</v>
      </c>
    </row>
    <row r="342">
      <c r="A342" t="s">
        <v>353</v>
      </c>
      <c r="B342" t="s">
        <v>769</v>
      </c>
      <c r="C342" t="s">
        <v>683</v>
      </c>
      <c r="D342" t="s">
        <v>411</v>
      </c>
    </row>
    <row r="343">
      <c r="A343" t="s">
        <v>353</v>
      </c>
      <c r="B343" t="s">
        <v>770</v>
      </c>
      <c r="C343" t="s">
        <v>680</v>
      </c>
      <c r="D343" t="s">
        <v>411</v>
      </c>
    </row>
    <row r="344">
      <c r="A344" t="s">
        <v>353</v>
      </c>
      <c r="B344" t="s">
        <v>771</v>
      </c>
      <c r="C344" t="s">
        <v>683</v>
      </c>
      <c r="D344" t="s">
        <v>411</v>
      </c>
    </row>
    <row r="345">
      <c r="A345" t="s">
        <v>353</v>
      </c>
      <c r="B345" t="s">
        <v>772</v>
      </c>
      <c r="C345" t="s">
        <v>680</v>
      </c>
      <c r="D345" t="s">
        <v>411</v>
      </c>
    </row>
    <row r="346">
      <c r="A346" t="s">
        <v>353</v>
      </c>
      <c r="B346" t="s">
        <v>773</v>
      </c>
      <c r="C346" t="s">
        <v>774</v>
      </c>
      <c r="D346" t="s">
        <v>411</v>
      </c>
    </row>
    <row r="347">
      <c r="A347" t="s">
        <v>353</v>
      </c>
      <c r="B347" t="s">
        <v>775</v>
      </c>
      <c r="C347" t="s">
        <v>676</v>
      </c>
      <c r="D347" t="s">
        <v>411</v>
      </c>
    </row>
    <row r="348">
      <c r="A348" t="s">
        <v>355</v>
      </c>
      <c r="B348" t="s">
        <v>776</v>
      </c>
      <c r="C348" t="s">
        <v>410</v>
      </c>
      <c r="D348" t="s">
        <v>411</v>
      </c>
    </row>
    <row r="349">
      <c r="A349" t="s">
        <v>355</v>
      </c>
      <c r="B349" t="s">
        <v>777</v>
      </c>
      <c r="C349" t="s">
        <v>410</v>
      </c>
      <c r="D349" t="s">
        <v>411</v>
      </c>
    </row>
    <row r="350">
      <c r="A350" t="s">
        <v>355</v>
      </c>
      <c r="B350" t="s">
        <v>778</v>
      </c>
      <c r="C350" t="s">
        <v>410</v>
      </c>
      <c r="D350" t="s">
        <v>411</v>
      </c>
    </row>
    <row r="351">
      <c r="A351" t="s">
        <v>355</v>
      </c>
      <c r="B351" t="s">
        <v>779</v>
      </c>
      <c r="C351" t="s">
        <v>410</v>
      </c>
      <c r="D351" t="s">
        <v>411</v>
      </c>
    </row>
    <row r="352">
      <c r="A352" t="s">
        <v>355</v>
      </c>
      <c r="B352" t="s">
        <v>780</v>
      </c>
      <c r="C352" t="s">
        <v>410</v>
      </c>
      <c r="D352" t="s">
        <v>411</v>
      </c>
    </row>
    <row r="353">
      <c r="A353" t="s">
        <v>355</v>
      </c>
      <c r="B353" t="s">
        <v>781</v>
      </c>
      <c r="C353" t="s">
        <v>410</v>
      </c>
      <c r="D353" t="s">
        <v>411</v>
      </c>
    </row>
    <row r="354">
      <c r="A354" t="s">
        <v>355</v>
      </c>
      <c r="B354" t="s">
        <v>573</v>
      </c>
      <c r="C354" t="s">
        <v>489</v>
      </c>
      <c r="D354" t="s">
        <v>408</v>
      </c>
    </row>
    <row r="355">
      <c r="A355" t="s">
        <v>355</v>
      </c>
      <c r="B355" t="s">
        <v>782</v>
      </c>
      <c r="C355" t="s">
        <v>410</v>
      </c>
      <c r="D355" t="s">
        <v>411</v>
      </c>
    </row>
    <row r="356">
      <c r="A356" t="s">
        <v>355</v>
      </c>
      <c r="B356" t="s">
        <v>783</v>
      </c>
      <c r="C356" t="s">
        <v>410</v>
      </c>
      <c r="D356" t="s">
        <v>408</v>
      </c>
    </row>
    <row r="357">
      <c r="A357" t="s">
        <v>355</v>
      </c>
      <c r="B357" t="s">
        <v>784</v>
      </c>
      <c r="C357" t="s">
        <v>496</v>
      </c>
      <c r="D357" t="s">
        <v>411</v>
      </c>
    </row>
    <row r="358">
      <c r="A358" t="s">
        <v>355</v>
      </c>
      <c r="B358" t="s">
        <v>785</v>
      </c>
      <c r="C358" t="s">
        <v>410</v>
      </c>
      <c r="D358" t="s">
        <v>411</v>
      </c>
    </row>
    <row r="359">
      <c r="A359" t="s">
        <v>355</v>
      </c>
      <c r="B359" t="s">
        <v>786</v>
      </c>
      <c r="C359" t="s">
        <v>410</v>
      </c>
      <c r="D359" t="s">
        <v>411</v>
      </c>
    </row>
    <row r="360">
      <c r="A360" t="s">
        <v>357</v>
      </c>
      <c r="B360" t="s">
        <v>787</v>
      </c>
      <c r="C360" t="s">
        <v>473</v>
      </c>
      <c r="D360" t="s">
        <v>411</v>
      </c>
    </row>
    <row r="361">
      <c r="A361" t="s">
        <v>357</v>
      </c>
      <c r="B361" t="s">
        <v>788</v>
      </c>
      <c r="C361" t="s">
        <v>473</v>
      </c>
      <c r="D361" t="s">
        <v>411</v>
      </c>
    </row>
    <row r="362">
      <c r="A362" t="s">
        <v>357</v>
      </c>
      <c r="B362" t="s">
        <v>789</v>
      </c>
      <c r="C362" t="s">
        <v>473</v>
      </c>
      <c r="D362" t="s">
        <v>411</v>
      </c>
    </row>
    <row r="363">
      <c r="A363" t="s">
        <v>357</v>
      </c>
      <c r="B363" t="s">
        <v>790</v>
      </c>
      <c r="C363" t="s">
        <v>473</v>
      </c>
      <c r="D363" t="s">
        <v>411</v>
      </c>
    </row>
    <row r="364">
      <c r="A364" t="s">
        <v>357</v>
      </c>
      <c r="B364" t="s">
        <v>791</v>
      </c>
      <c r="C364" t="s">
        <v>473</v>
      </c>
      <c r="D364" t="s">
        <v>411</v>
      </c>
    </row>
    <row r="365">
      <c r="A365" t="s">
        <v>357</v>
      </c>
      <c r="B365" t="s">
        <v>792</v>
      </c>
      <c r="C365" t="s">
        <v>473</v>
      </c>
      <c r="D365" t="s">
        <v>411</v>
      </c>
    </row>
    <row r="366">
      <c r="A366" t="s">
        <v>357</v>
      </c>
      <c r="B366" t="s">
        <v>793</v>
      </c>
      <c r="C366" t="s">
        <v>473</v>
      </c>
      <c r="D366" t="s">
        <v>411</v>
      </c>
    </row>
    <row r="367">
      <c r="A367" t="s">
        <v>357</v>
      </c>
      <c r="B367" t="s">
        <v>794</v>
      </c>
      <c r="C367" t="s">
        <v>473</v>
      </c>
      <c r="D367" t="s">
        <v>411</v>
      </c>
    </row>
    <row r="368">
      <c r="A368" t="s">
        <v>357</v>
      </c>
      <c r="B368" t="s">
        <v>795</v>
      </c>
      <c r="C368" t="s">
        <v>473</v>
      </c>
      <c r="D368" t="s">
        <v>411</v>
      </c>
    </row>
    <row r="369">
      <c r="A369" t="s">
        <v>357</v>
      </c>
      <c r="B369" t="s">
        <v>796</v>
      </c>
      <c r="C369" t="s">
        <v>473</v>
      </c>
      <c r="D369" t="s">
        <v>411</v>
      </c>
    </row>
    <row r="370">
      <c r="A370" t="s">
        <v>357</v>
      </c>
      <c r="B370" t="s">
        <v>797</v>
      </c>
      <c r="C370" t="s">
        <v>473</v>
      </c>
      <c r="D370" t="s">
        <v>411</v>
      </c>
    </row>
    <row r="371">
      <c r="A371" t="s">
        <v>357</v>
      </c>
      <c r="B371" t="s">
        <v>798</v>
      </c>
      <c r="C371" t="s">
        <v>473</v>
      </c>
      <c r="D371" t="s">
        <v>411</v>
      </c>
    </row>
    <row r="372">
      <c r="A372" t="s">
        <v>357</v>
      </c>
      <c r="B372" t="s">
        <v>799</v>
      </c>
      <c r="C372" t="s">
        <v>473</v>
      </c>
      <c r="D372" t="s">
        <v>411</v>
      </c>
    </row>
    <row r="373">
      <c r="A373" t="s">
        <v>357</v>
      </c>
      <c r="B373" t="s">
        <v>800</v>
      </c>
      <c r="C373" t="s">
        <v>473</v>
      </c>
      <c r="D373" t="s">
        <v>411</v>
      </c>
    </row>
    <row r="374">
      <c r="A374" t="s">
        <v>357</v>
      </c>
      <c r="B374" t="s">
        <v>801</v>
      </c>
      <c r="C374" t="s">
        <v>487</v>
      </c>
      <c r="D374" t="s">
        <v>411</v>
      </c>
    </row>
    <row r="375">
      <c r="A375" t="s">
        <v>357</v>
      </c>
      <c r="B375" t="s">
        <v>466</v>
      </c>
      <c r="C375" t="s">
        <v>465</v>
      </c>
      <c r="D375" t="s">
        <v>408</v>
      </c>
    </row>
    <row r="376">
      <c r="A376" t="s">
        <v>357</v>
      </c>
      <c r="B376" t="s">
        <v>802</v>
      </c>
      <c r="C376" t="s">
        <v>505</v>
      </c>
      <c r="D376" t="s">
        <v>411</v>
      </c>
    </row>
    <row r="377">
      <c r="A377" t="s">
        <v>357</v>
      </c>
      <c r="B377" t="s">
        <v>508</v>
      </c>
      <c r="C377" t="s">
        <v>507</v>
      </c>
      <c r="D377" t="s">
        <v>408</v>
      </c>
    </row>
    <row r="378">
      <c r="A378" t="s">
        <v>357</v>
      </c>
      <c r="B378" t="s">
        <v>509</v>
      </c>
      <c r="C378" t="s">
        <v>507</v>
      </c>
      <c r="D378" t="s">
        <v>408</v>
      </c>
    </row>
    <row r="379">
      <c r="A379" t="s">
        <v>357</v>
      </c>
      <c r="B379" t="s">
        <v>803</v>
      </c>
      <c r="C379" t="s">
        <v>410</v>
      </c>
      <c r="D379" t="s">
        <v>411</v>
      </c>
    </row>
    <row r="380">
      <c r="A380" t="s">
        <v>357</v>
      </c>
      <c r="B380" t="s">
        <v>804</v>
      </c>
      <c r="C380" t="s">
        <v>410</v>
      </c>
      <c r="D380" t="s">
        <v>411</v>
      </c>
    </row>
    <row r="381">
      <c r="A381" t="s">
        <v>357</v>
      </c>
      <c r="B381" t="s">
        <v>805</v>
      </c>
      <c r="C381" t="s">
        <v>410</v>
      </c>
      <c r="D381" t="s">
        <v>411</v>
      </c>
    </row>
    <row r="382">
      <c r="A382" t="s">
        <v>357</v>
      </c>
      <c r="B382" t="s">
        <v>806</v>
      </c>
      <c r="C382" t="s">
        <v>413</v>
      </c>
      <c r="D382" t="s">
        <v>411</v>
      </c>
    </row>
    <row r="383">
      <c r="A383" t="s">
        <v>357</v>
      </c>
      <c r="B383" t="s">
        <v>807</v>
      </c>
      <c r="C383" t="s">
        <v>413</v>
      </c>
      <c r="D383" t="s">
        <v>411</v>
      </c>
    </row>
    <row r="384">
      <c r="A384" t="s">
        <v>357</v>
      </c>
      <c r="B384" t="s">
        <v>808</v>
      </c>
      <c r="C384" t="s">
        <v>413</v>
      </c>
      <c r="D384" t="s">
        <v>411</v>
      </c>
    </row>
    <row r="385">
      <c r="A385" t="s">
        <v>357</v>
      </c>
      <c r="B385" t="s">
        <v>809</v>
      </c>
      <c r="C385" t="s">
        <v>410</v>
      </c>
      <c r="D385" t="s">
        <v>411</v>
      </c>
    </row>
    <row r="386">
      <c r="A386" t="s">
        <v>357</v>
      </c>
      <c r="B386" t="s">
        <v>810</v>
      </c>
      <c r="C386" t="s">
        <v>410</v>
      </c>
      <c r="D386" t="s">
        <v>411</v>
      </c>
    </row>
    <row r="387">
      <c r="A387" t="s">
        <v>357</v>
      </c>
      <c r="B387" t="s">
        <v>328</v>
      </c>
      <c r="C387" t="s">
        <v>605</v>
      </c>
      <c r="D387" t="s">
        <v>408</v>
      </c>
    </row>
    <row r="388">
      <c r="A388" t="s">
        <v>357</v>
      </c>
      <c r="B388" t="s">
        <v>811</v>
      </c>
      <c r="C388" t="s">
        <v>517</v>
      </c>
      <c r="D388" t="s">
        <v>411</v>
      </c>
    </row>
    <row r="389">
      <c r="A389" t="s">
        <v>357</v>
      </c>
      <c r="B389" t="s">
        <v>812</v>
      </c>
      <c r="C389" t="s">
        <v>507</v>
      </c>
      <c r="D389" t="s">
        <v>411</v>
      </c>
    </row>
    <row r="390">
      <c r="A390" t="s">
        <v>357</v>
      </c>
      <c r="B390" t="s">
        <v>813</v>
      </c>
      <c r="C390" t="s">
        <v>492</v>
      </c>
      <c r="D390" t="s">
        <v>411</v>
      </c>
    </row>
    <row r="391">
      <c r="A391" t="s">
        <v>357</v>
      </c>
      <c r="B391" t="s">
        <v>814</v>
      </c>
      <c r="C391" t="s">
        <v>473</v>
      </c>
      <c r="D391" t="s">
        <v>411</v>
      </c>
    </row>
    <row r="392">
      <c r="A392" t="s">
        <v>357</v>
      </c>
      <c r="B392" t="s">
        <v>815</v>
      </c>
      <c r="C392" t="s">
        <v>473</v>
      </c>
      <c r="D392" t="s">
        <v>411</v>
      </c>
    </row>
    <row r="393">
      <c r="A393" t="s">
        <v>357</v>
      </c>
      <c r="B393" t="s">
        <v>816</v>
      </c>
      <c r="C393" t="s">
        <v>473</v>
      </c>
      <c r="D393" t="s">
        <v>411</v>
      </c>
    </row>
    <row r="394">
      <c r="A394" t="s">
        <v>357</v>
      </c>
      <c r="B394" t="s">
        <v>817</v>
      </c>
      <c r="C394" t="s">
        <v>473</v>
      </c>
      <c r="D394" t="s">
        <v>411</v>
      </c>
    </row>
    <row r="395">
      <c r="A395" t="s">
        <v>357</v>
      </c>
      <c r="B395" t="s">
        <v>818</v>
      </c>
      <c r="C395" t="s">
        <v>473</v>
      </c>
      <c r="D395" t="s">
        <v>411</v>
      </c>
    </row>
    <row r="396">
      <c r="A396" t="s">
        <v>357</v>
      </c>
      <c r="B396" t="s">
        <v>819</v>
      </c>
      <c r="C396" t="s">
        <v>473</v>
      </c>
      <c r="D396" t="s">
        <v>411</v>
      </c>
    </row>
    <row r="397">
      <c r="A397" t="s">
        <v>357</v>
      </c>
      <c r="B397" t="s">
        <v>820</v>
      </c>
      <c r="C397" t="s">
        <v>473</v>
      </c>
      <c r="D397" t="s">
        <v>411</v>
      </c>
    </row>
    <row r="398">
      <c r="A398" t="s">
        <v>357</v>
      </c>
      <c r="B398" t="s">
        <v>821</v>
      </c>
      <c r="C398" t="s">
        <v>473</v>
      </c>
      <c r="D398" t="s">
        <v>411</v>
      </c>
    </row>
    <row r="399">
      <c r="A399" t="s">
        <v>357</v>
      </c>
      <c r="B399" t="s">
        <v>822</v>
      </c>
      <c r="C399" t="s">
        <v>473</v>
      </c>
      <c r="D399" t="s">
        <v>411</v>
      </c>
    </row>
    <row r="400">
      <c r="A400" t="s">
        <v>357</v>
      </c>
      <c r="B400" t="s">
        <v>823</v>
      </c>
      <c r="C400" t="s">
        <v>473</v>
      </c>
      <c r="D400" t="s">
        <v>411</v>
      </c>
    </row>
    <row r="401">
      <c r="A401" t="s">
        <v>357</v>
      </c>
      <c r="B401" t="s">
        <v>824</v>
      </c>
      <c r="C401" t="s">
        <v>473</v>
      </c>
      <c r="D401" t="s">
        <v>411</v>
      </c>
    </row>
    <row r="402">
      <c r="A402" t="s">
        <v>357</v>
      </c>
      <c r="B402" t="s">
        <v>825</v>
      </c>
      <c r="C402" t="s">
        <v>487</v>
      </c>
      <c r="D402" t="s">
        <v>411</v>
      </c>
    </row>
    <row r="403">
      <c r="A403" t="s">
        <v>357</v>
      </c>
      <c r="B403" t="s">
        <v>826</v>
      </c>
      <c r="C403" t="s">
        <v>534</v>
      </c>
      <c r="D403" t="s">
        <v>411</v>
      </c>
    </row>
    <row r="404">
      <c r="A404" t="s">
        <v>357</v>
      </c>
      <c r="B404" t="s">
        <v>827</v>
      </c>
      <c r="C404" t="s">
        <v>492</v>
      </c>
      <c r="D404" t="s">
        <v>411</v>
      </c>
    </row>
    <row r="405">
      <c r="A405" t="s">
        <v>357</v>
      </c>
      <c r="B405" t="s">
        <v>828</v>
      </c>
      <c r="C405" t="s">
        <v>621</v>
      </c>
      <c r="D405" t="s">
        <v>411</v>
      </c>
    </row>
    <row r="406">
      <c r="A406" t="s">
        <v>357</v>
      </c>
      <c r="B406" t="s">
        <v>829</v>
      </c>
      <c r="C406" t="s">
        <v>623</v>
      </c>
      <c r="D406" t="s">
        <v>411</v>
      </c>
    </row>
    <row r="407">
      <c r="A407" t="s">
        <v>357</v>
      </c>
      <c r="B407" t="s">
        <v>830</v>
      </c>
      <c r="C407" t="s">
        <v>536</v>
      </c>
      <c r="D407" t="s">
        <v>411</v>
      </c>
    </row>
    <row r="408">
      <c r="A408" t="s">
        <v>357</v>
      </c>
      <c r="B408" t="s">
        <v>830</v>
      </c>
      <c r="C408" t="s">
        <v>492</v>
      </c>
      <c r="D408" t="s">
        <v>411</v>
      </c>
    </row>
    <row r="409">
      <c r="A409" t="s">
        <v>357</v>
      </c>
      <c r="B409" t="s">
        <v>831</v>
      </c>
      <c r="C409" t="s">
        <v>473</v>
      </c>
      <c r="D409" t="s">
        <v>411</v>
      </c>
    </row>
    <row r="410">
      <c r="A410" t="s">
        <v>357</v>
      </c>
      <c r="B410" t="s">
        <v>832</v>
      </c>
      <c r="C410" t="s">
        <v>473</v>
      </c>
      <c r="D410" t="s">
        <v>411</v>
      </c>
    </row>
    <row r="411">
      <c r="A411" t="s">
        <v>357</v>
      </c>
      <c r="B411" t="s">
        <v>833</v>
      </c>
      <c r="C411" t="s">
        <v>473</v>
      </c>
      <c r="D411" t="s">
        <v>411</v>
      </c>
    </row>
    <row r="412">
      <c r="A412" t="s">
        <v>357</v>
      </c>
      <c r="B412" t="s">
        <v>834</v>
      </c>
      <c r="C412" t="s">
        <v>473</v>
      </c>
      <c r="D412" t="s">
        <v>411</v>
      </c>
    </row>
    <row r="413">
      <c r="A413" t="s">
        <v>359</v>
      </c>
      <c r="B413" t="s">
        <v>835</v>
      </c>
      <c r="C413" t="s">
        <v>491</v>
      </c>
      <c r="D413" t="s">
        <v>408</v>
      </c>
    </row>
    <row r="414">
      <c r="A414" t="s">
        <v>359</v>
      </c>
      <c r="B414" t="s">
        <v>835</v>
      </c>
      <c r="C414" t="s">
        <v>492</v>
      </c>
      <c r="D414" t="s">
        <v>408</v>
      </c>
    </row>
    <row r="415">
      <c r="A415" t="s">
        <v>359</v>
      </c>
      <c r="B415" t="s">
        <v>624</v>
      </c>
      <c r="C415" t="s">
        <v>536</v>
      </c>
      <c r="D415" t="s">
        <v>408</v>
      </c>
    </row>
    <row r="416">
      <c r="A416" t="s">
        <v>359</v>
      </c>
      <c r="B416" t="s">
        <v>635</v>
      </c>
      <c r="C416" t="s">
        <v>487</v>
      </c>
      <c r="D416" t="s">
        <v>408</v>
      </c>
    </row>
    <row r="417">
      <c r="A417" t="s">
        <v>359</v>
      </c>
      <c r="B417" t="s">
        <v>464</v>
      </c>
      <c r="C417" t="s">
        <v>465</v>
      </c>
      <c r="D417" t="s">
        <v>408</v>
      </c>
    </row>
    <row r="418">
      <c r="A418" t="s">
        <v>359</v>
      </c>
      <c r="B418" t="s">
        <v>836</v>
      </c>
      <c r="C418" t="s">
        <v>487</v>
      </c>
      <c r="D418" t="s">
        <v>408</v>
      </c>
    </row>
    <row r="419">
      <c r="A419" t="s">
        <v>359</v>
      </c>
      <c r="B419" t="s">
        <v>637</v>
      </c>
      <c r="C419" t="s">
        <v>507</v>
      </c>
      <c r="D419" t="s">
        <v>408</v>
      </c>
    </row>
    <row r="420">
      <c r="A420" t="s">
        <v>359</v>
      </c>
      <c r="B420" t="s">
        <v>664</v>
      </c>
      <c r="C420" t="s">
        <v>487</v>
      </c>
      <c r="D420" t="s">
        <v>408</v>
      </c>
    </row>
    <row r="421">
      <c r="A421" t="s">
        <v>359</v>
      </c>
      <c r="B421" t="s">
        <v>837</v>
      </c>
      <c r="C421" t="s">
        <v>492</v>
      </c>
      <c r="D421" t="s">
        <v>408</v>
      </c>
    </row>
    <row r="422">
      <c r="A422" t="s">
        <v>359</v>
      </c>
      <c r="B422" t="s">
        <v>650</v>
      </c>
      <c r="C422" t="s">
        <v>487</v>
      </c>
      <c r="D422" t="s">
        <v>408</v>
      </c>
    </row>
    <row r="423">
      <c r="A423" t="s">
        <v>359</v>
      </c>
      <c r="B423" t="s">
        <v>651</v>
      </c>
      <c r="C423" t="s">
        <v>536</v>
      </c>
      <c r="D423" t="s">
        <v>408</v>
      </c>
    </row>
    <row r="424">
      <c r="A424" t="s">
        <v>359</v>
      </c>
      <c r="B424" t="s">
        <v>594</v>
      </c>
      <c r="C424" t="s">
        <v>487</v>
      </c>
      <c r="D424" t="s">
        <v>408</v>
      </c>
    </row>
    <row r="425">
      <c r="A425" t="s">
        <v>359</v>
      </c>
      <c r="B425" t="s">
        <v>595</v>
      </c>
      <c r="C425" t="s">
        <v>465</v>
      </c>
      <c r="D425" t="s">
        <v>408</v>
      </c>
    </row>
    <row r="426">
      <c r="A426" t="s">
        <v>359</v>
      </c>
      <c r="B426" t="s">
        <v>466</v>
      </c>
      <c r="C426" t="s">
        <v>465</v>
      </c>
      <c r="D426" t="s">
        <v>408</v>
      </c>
    </row>
    <row r="427">
      <c r="A427" t="s">
        <v>359</v>
      </c>
      <c r="B427" t="s">
        <v>467</v>
      </c>
      <c r="C427" t="s">
        <v>465</v>
      </c>
      <c r="D427" t="s">
        <v>408</v>
      </c>
    </row>
    <row r="428">
      <c r="A428" t="s">
        <v>359</v>
      </c>
      <c r="B428" t="s">
        <v>468</v>
      </c>
      <c r="C428" t="s">
        <v>469</v>
      </c>
      <c r="D428" t="s">
        <v>408</v>
      </c>
    </row>
    <row r="429">
      <c r="A429" t="s">
        <v>359</v>
      </c>
      <c r="B429" t="s">
        <v>838</v>
      </c>
      <c r="C429" t="s">
        <v>489</v>
      </c>
      <c r="D429" t="s">
        <v>408</v>
      </c>
    </row>
    <row r="430">
      <c r="A430" t="s">
        <v>359</v>
      </c>
      <c r="B430" t="s">
        <v>838</v>
      </c>
      <c r="C430" t="s">
        <v>492</v>
      </c>
      <c r="D430" t="s">
        <v>839</v>
      </c>
    </row>
    <row r="431">
      <c r="A431" t="s">
        <v>359</v>
      </c>
      <c r="B431" t="s">
        <v>840</v>
      </c>
      <c r="C431" t="s">
        <v>489</v>
      </c>
      <c r="D431" t="s">
        <v>408</v>
      </c>
    </row>
    <row r="432">
      <c r="A432" t="s">
        <v>359</v>
      </c>
      <c r="B432" t="s">
        <v>840</v>
      </c>
      <c r="C432" t="s">
        <v>492</v>
      </c>
      <c r="D432" t="s">
        <v>839</v>
      </c>
    </row>
    <row r="433">
      <c r="A433" t="s">
        <v>359</v>
      </c>
      <c r="B433" t="s">
        <v>841</v>
      </c>
      <c r="C433" t="s">
        <v>489</v>
      </c>
      <c r="D433" t="s">
        <v>408</v>
      </c>
    </row>
    <row r="434">
      <c r="A434" t="s">
        <v>359</v>
      </c>
      <c r="B434" t="s">
        <v>841</v>
      </c>
      <c r="C434" t="s">
        <v>492</v>
      </c>
      <c r="D434" t="s">
        <v>839</v>
      </c>
    </row>
    <row r="435">
      <c r="A435" t="s">
        <v>359</v>
      </c>
      <c r="B435" t="s">
        <v>842</v>
      </c>
      <c r="C435" t="s">
        <v>473</v>
      </c>
      <c r="D435" t="s">
        <v>839</v>
      </c>
    </row>
    <row r="436">
      <c r="A436" t="s">
        <v>359</v>
      </c>
      <c r="B436" t="s">
        <v>843</v>
      </c>
      <c r="C436" t="s">
        <v>487</v>
      </c>
      <c r="D436" t="s">
        <v>408</v>
      </c>
    </row>
    <row r="437">
      <c r="A437" t="s">
        <v>359</v>
      </c>
      <c r="B437" t="s">
        <v>844</v>
      </c>
      <c r="C437" t="s">
        <v>489</v>
      </c>
      <c r="D437" t="s">
        <v>408</v>
      </c>
    </row>
    <row r="438">
      <c r="A438" t="s">
        <v>359</v>
      </c>
      <c r="B438" t="s">
        <v>486</v>
      </c>
      <c r="C438" t="s">
        <v>487</v>
      </c>
      <c r="D438" t="s">
        <v>408</v>
      </c>
    </row>
    <row r="439">
      <c r="A439" t="s">
        <v>359</v>
      </c>
      <c r="B439" t="s">
        <v>845</v>
      </c>
      <c r="C439" t="s">
        <v>410</v>
      </c>
      <c r="D439" t="s">
        <v>408</v>
      </c>
    </row>
    <row r="440">
      <c r="A440" t="s">
        <v>359</v>
      </c>
      <c r="B440" t="s">
        <v>846</v>
      </c>
      <c r="C440" t="s">
        <v>410</v>
      </c>
      <c r="D440" t="s">
        <v>408</v>
      </c>
    </row>
    <row r="441">
      <c r="A441" t="s">
        <v>359</v>
      </c>
      <c r="B441" t="s">
        <v>847</v>
      </c>
      <c r="C441" t="s">
        <v>410</v>
      </c>
      <c r="D441" t="s">
        <v>408</v>
      </c>
    </row>
    <row r="442">
      <c r="A442" t="s">
        <v>359</v>
      </c>
      <c r="B442" t="s">
        <v>848</v>
      </c>
      <c r="C442" t="s">
        <v>410</v>
      </c>
      <c r="D442" t="s">
        <v>408</v>
      </c>
    </row>
    <row r="443">
      <c r="A443" t="s">
        <v>359</v>
      </c>
      <c r="B443" t="s">
        <v>849</v>
      </c>
      <c r="C443" t="s">
        <v>410</v>
      </c>
      <c r="D443" t="s">
        <v>408</v>
      </c>
    </row>
    <row r="444">
      <c r="A444" t="s">
        <v>359</v>
      </c>
      <c r="B444" t="s">
        <v>850</v>
      </c>
      <c r="C444" t="s">
        <v>410</v>
      </c>
      <c r="D444" t="s">
        <v>408</v>
      </c>
    </row>
    <row r="445">
      <c r="A445" t="s">
        <v>359</v>
      </c>
      <c r="B445" t="s">
        <v>851</v>
      </c>
      <c r="C445" t="s">
        <v>410</v>
      </c>
      <c r="D445" t="s">
        <v>408</v>
      </c>
    </row>
    <row r="446">
      <c r="A446" t="s">
        <v>359</v>
      </c>
      <c r="B446" t="s">
        <v>852</v>
      </c>
      <c r="C446" t="s">
        <v>496</v>
      </c>
      <c r="D446" t="s">
        <v>408</v>
      </c>
    </row>
    <row r="447">
      <c r="A447" t="s">
        <v>359</v>
      </c>
      <c r="B447" t="s">
        <v>495</v>
      </c>
      <c r="C447" t="s">
        <v>496</v>
      </c>
      <c r="D447" t="s">
        <v>408</v>
      </c>
    </row>
    <row r="448">
      <c r="A448" t="s">
        <v>359</v>
      </c>
      <c r="B448" t="s">
        <v>497</v>
      </c>
      <c r="C448" t="s">
        <v>410</v>
      </c>
      <c r="D448" t="s">
        <v>408</v>
      </c>
    </row>
    <row r="449">
      <c r="A449" t="s">
        <v>359</v>
      </c>
      <c r="B449" t="s">
        <v>499</v>
      </c>
      <c r="C449" t="s">
        <v>410</v>
      </c>
      <c r="D449" t="s">
        <v>408</v>
      </c>
    </row>
    <row r="450">
      <c r="A450" t="s">
        <v>359</v>
      </c>
      <c r="B450" t="s">
        <v>501</v>
      </c>
      <c r="C450" t="s">
        <v>496</v>
      </c>
      <c r="D450" t="s">
        <v>408</v>
      </c>
    </row>
    <row r="451">
      <c r="A451" t="s">
        <v>359</v>
      </c>
      <c r="B451" t="s">
        <v>502</v>
      </c>
      <c r="C451" t="s">
        <v>496</v>
      </c>
      <c r="D451" t="s">
        <v>408</v>
      </c>
    </row>
    <row r="452">
      <c r="A452" t="s">
        <v>359</v>
      </c>
      <c r="B452" t="s">
        <v>853</v>
      </c>
      <c r="C452" t="s">
        <v>496</v>
      </c>
      <c r="D452" t="s">
        <v>408</v>
      </c>
    </row>
    <row r="453">
      <c r="A453" t="s">
        <v>359</v>
      </c>
      <c r="B453" t="s">
        <v>655</v>
      </c>
      <c r="C453" t="s">
        <v>496</v>
      </c>
      <c r="D453" t="s">
        <v>408</v>
      </c>
    </row>
    <row r="454">
      <c r="A454" t="s">
        <v>359</v>
      </c>
      <c r="B454" t="s">
        <v>854</v>
      </c>
      <c r="C454" t="s">
        <v>487</v>
      </c>
      <c r="D454" t="s">
        <v>408</v>
      </c>
    </row>
    <row r="455">
      <c r="A455" t="s">
        <v>359</v>
      </c>
      <c r="B455" t="s">
        <v>570</v>
      </c>
      <c r="C455" t="s">
        <v>496</v>
      </c>
      <c r="D455" t="s">
        <v>408</v>
      </c>
    </row>
    <row r="456">
      <c r="A456" t="s">
        <v>359</v>
      </c>
      <c r="B456" t="s">
        <v>563</v>
      </c>
      <c r="C456" t="s">
        <v>496</v>
      </c>
      <c r="D456" t="s">
        <v>408</v>
      </c>
    </row>
    <row r="457">
      <c r="A457" t="s">
        <v>359</v>
      </c>
      <c r="B457" t="s">
        <v>488</v>
      </c>
      <c r="C457" t="s">
        <v>489</v>
      </c>
      <c r="D457" t="s">
        <v>408</v>
      </c>
    </row>
    <row r="458">
      <c r="A458" t="s">
        <v>359</v>
      </c>
      <c r="B458" t="s">
        <v>855</v>
      </c>
      <c r="C458" t="s">
        <v>489</v>
      </c>
      <c r="D458" t="s">
        <v>408</v>
      </c>
    </row>
    <row r="459">
      <c r="A459" t="s">
        <v>359</v>
      </c>
      <c r="B459" t="s">
        <v>855</v>
      </c>
      <c r="C459" t="s">
        <v>492</v>
      </c>
      <c r="D459" t="s">
        <v>839</v>
      </c>
    </row>
    <row r="460">
      <c r="A460" t="s">
        <v>359</v>
      </c>
      <c r="B460" t="s">
        <v>757</v>
      </c>
      <c r="C460" t="s">
        <v>487</v>
      </c>
      <c r="D460" t="s">
        <v>408</v>
      </c>
    </row>
    <row r="461">
      <c r="A461" t="s">
        <v>359</v>
      </c>
      <c r="B461" t="s">
        <v>856</v>
      </c>
      <c r="C461" t="s">
        <v>491</v>
      </c>
      <c r="D461" t="s">
        <v>408</v>
      </c>
    </row>
    <row r="462">
      <c r="A462" t="s">
        <v>359</v>
      </c>
      <c r="B462" t="s">
        <v>490</v>
      </c>
      <c r="C462" t="s">
        <v>491</v>
      </c>
      <c r="D462" t="s">
        <v>408</v>
      </c>
    </row>
    <row r="463">
      <c r="A463" t="s">
        <v>359</v>
      </c>
      <c r="B463" t="s">
        <v>857</v>
      </c>
      <c r="C463" t="s">
        <v>496</v>
      </c>
      <c r="D463" t="s">
        <v>408</v>
      </c>
    </row>
    <row r="464">
      <c r="A464" t="s">
        <v>359</v>
      </c>
      <c r="B464" t="s">
        <v>858</v>
      </c>
      <c r="C464" t="s">
        <v>496</v>
      </c>
      <c r="D464" t="s">
        <v>408</v>
      </c>
    </row>
    <row r="465">
      <c r="A465" t="s">
        <v>359</v>
      </c>
      <c r="B465" t="s">
        <v>859</v>
      </c>
      <c r="C465" t="s">
        <v>496</v>
      </c>
      <c r="D465" t="s">
        <v>408</v>
      </c>
    </row>
    <row r="466">
      <c r="A466" t="s">
        <v>359</v>
      </c>
      <c r="B466" t="s">
        <v>860</v>
      </c>
      <c r="C466" t="s">
        <v>410</v>
      </c>
      <c r="D466" t="s">
        <v>408</v>
      </c>
    </row>
    <row r="467">
      <c r="A467" t="s">
        <v>359</v>
      </c>
      <c r="B467" t="s">
        <v>582</v>
      </c>
      <c r="C467" t="s">
        <v>410</v>
      </c>
      <c r="D467" t="s">
        <v>408</v>
      </c>
    </row>
    <row r="468">
      <c r="A468" t="s">
        <v>359</v>
      </c>
      <c r="B468" t="s">
        <v>583</v>
      </c>
      <c r="C468" t="s">
        <v>410</v>
      </c>
      <c r="D468" t="s">
        <v>408</v>
      </c>
    </row>
    <row r="469">
      <c r="A469" t="s">
        <v>359</v>
      </c>
      <c r="B469" t="s">
        <v>584</v>
      </c>
      <c r="C469" t="s">
        <v>410</v>
      </c>
      <c r="D469" t="s">
        <v>408</v>
      </c>
    </row>
    <row r="470">
      <c r="A470" t="s">
        <v>359</v>
      </c>
      <c r="B470" t="s">
        <v>585</v>
      </c>
      <c r="C470" t="s">
        <v>410</v>
      </c>
      <c r="D470" t="s">
        <v>408</v>
      </c>
    </row>
    <row r="471">
      <c r="A471" t="s">
        <v>359</v>
      </c>
      <c r="B471" t="s">
        <v>586</v>
      </c>
      <c r="C471" t="s">
        <v>410</v>
      </c>
      <c r="D471" t="s">
        <v>408</v>
      </c>
    </row>
    <row r="472">
      <c r="A472" t="s">
        <v>359</v>
      </c>
      <c r="B472" t="s">
        <v>587</v>
      </c>
      <c r="C472" t="s">
        <v>410</v>
      </c>
      <c r="D472" t="s">
        <v>408</v>
      </c>
    </row>
    <row r="473">
      <c r="A473" t="s">
        <v>359</v>
      </c>
      <c r="B473" t="s">
        <v>588</v>
      </c>
      <c r="C473" t="s">
        <v>410</v>
      </c>
      <c r="D473" t="s">
        <v>408</v>
      </c>
    </row>
    <row r="474">
      <c r="A474" t="s">
        <v>359</v>
      </c>
      <c r="B474" t="s">
        <v>589</v>
      </c>
      <c r="C474" t="s">
        <v>410</v>
      </c>
      <c r="D474" t="s">
        <v>408</v>
      </c>
    </row>
    <row r="475">
      <c r="A475" t="s">
        <v>359</v>
      </c>
      <c r="B475" t="s">
        <v>861</v>
      </c>
      <c r="C475" t="s">
        <v>410</v>
      </c>
      <c r="D475" t="s">
        <v>408</v>
      </c>
    </row>
    <row r="476">
      <c r="A476" t="s">
        <v>359</v>
      </c>
      <c r="B476" t="s">
        <v>862</v>
      </c>
      <c r="C476" t="s">
        <v>410</v>
      </c>
      <c r="D476" t="s">
        <v>408</v>
      </c>
    </row>
    <row r="477">
      <c r="A477" t="s">
        <v>359</v>
      </c>
      <c r="B477" t="s">
        <v>863</v>
      </c>
      <c r="C477" t="s">
        <v>410</v>
      </c>
      <c r="D477" t="s">
        <v>408</v>
      </c>
    </row>
    <row r="478">
      <c r="A478" t="s">
        <v>359</v>
      </c>
      <c r="B478" t="s">
        <v>864</v>
      </c>
      <c r="C478" t="s">
        <v>410</v>
      </c>
      <c r="D478" t="s">
        <v>408</v>
      </c>
    </row>
    <row r="479">
      <c r="A479" t="s">
        <v>359</v>
      </c>
      <c r="B479" t="s">
        <v>865</v>
      </c>
      <c r="C479" t="s">
        <v>410</v>
      </c>
      <c r="D479" t="s">
        <v>408</v>
      </c>
    </row>
    <row r="480">
      <c r="A480" t="s">
        <v>359</v>
      </c>
      <c r="B480" t="s">
        <v>866</v>
      </c>
      <c r="C480" t="s">
        <v>410</v>
      </c>
      <c r="D480" t="s">
        <v>408</v>
      </c>
    </row>
    <row r="481">
      <c r="A481" t="s">
        <v>359</v>
      </c>
      <c r="B481" t="s">
        <v>867</v>
      </c>
      <c r="C481" t="s">
        <v>410</v>
      </c>
      <c r="D481" t="s">
        <v>408</v>
      </c>
    </row>
    <row r="482">
      <c r="A482" t="s">
        <v>359</v>
      </c>
      <c r="B482" t="s">
        <v>868</v>
      </c>
      <c r="C482" t="s">
        <v>410</v>
      </c>
      <c r="D482" t="s">
        <v>408</v>
      </c>
    </row>
    <row r="483">
      <c r="A483" t="s">
        <v>359</v>
      </c>
      <c r="B483" t="s">
        <v>566</v>
      </c>
      <c r="C483" t="s">
        <v>410</v>
      </c>
      <c r="D483" t="s">
        <v>839</v>
      </c>
    </row>
    <row r="484">
      <c r="A484" t="s">
        <v>359</v>
      </c>
      <c r="B484" t="s">
        <v>869</v>
      </c>
      <c r="C484" t="s">
        <v>413</v>
      </c>
      <c r="D484" t="s">
        <v>408</v>
      </c>
    </row>
    <row r="485">
      <c r="A485" t="s">
        <v>359</v>
      </c>
      <c r="B485" t="s">
        <v>870</v>
      </c>
      <c r="C485" t="s">
        <v>413</v>
      </c>
      <c r="D485" t="s">
        <v>408</v>
      </c>
    </row>
    <row r="486">
      <c r="A486" t="s">
        <v>359</v>
      </c>
      <c r="B486" t="s">
        <v>871</v>
      </c>
      <c r="C486" t="s">
        <v>413</v>
      </c>
      <c r="D486" t="s">
        <v>408</v>
      </c>
    </row>
    <row r="487">
      <c r="A487" t="s">
        <v>359</v>
      </c>
      <c r="B487" t="s">
        <v>872</v>
      </c>
      <c r="C487" t="s">
        <v>413</v>
      </c>
      <c r="D487" t="s">
        <v>408</v>
      </c>
    </row>
    <row r="488">
      <c r="A488" t="s">
        <v>359</v>
      </c>
      <c r="B488" t="s">
        <v>873</v>
      </c>
      <c r="C488" t="s">
        <v>413</v>
      </c>
      <c r="D488" t="s">
        <v>408</v>
      </c>
    </row>
    <row r="489">
      <c r="A489" t="s">
        <v>359</v>
      </c>
      <c r="B489" t="s">
        <v>874</v>
      </c>
      <c r="C489" t="s">
        <v>413</v>
      </c>
      <c r="D489" t="s">
        <v>408</v>
      </c>
    </row>
    <row r="490">
      <c r="A490" t="s">
        <v>359</v>
      </c>
      <c r="B490" t="s">
        <v>875</v>
      </c>
      <c r="C490" t="s">
        <v>413</v>
      </c>
      <c r="D490" t="s">
        <v>408</v>
      </c>
    </row>
    <row r="491">
      <c r="A491" t="s">
        <v>359</v>
      </c>
      <c r="B491" t="s">
        <v>412</v>
      </c>
      <c r="C491" t="s">
        <v>413</v>
      </c>
      <c r="D491" t="s">
        <v>408</v>
      </c>
    </row>
    <row r="492">
      <c r="A492" t="s">
        <v>359</v>
      </c>
      <c r="B492" t="s">
        <v>508</v>
      </c>
      <c r="C492" t="s">
        <v>507</v>
      </c>
      <c r="D492" t="s">
        <v>408</v>
      </c>
    </row>
    <row r="493">
      <c r="A493" t="s">
        <v>359</v>
      </c>
      <c r="B493" t="s">
        <v>876</v>
      </c>
      <c r="C493" t="s">
        <v>413</v>
      </c>
      <c r="D493" t="s">
        <v>408</v>
      </c>
    </row>
    <row r="494">
      <c r="A494" t="s">
        <v>359</v>
      </c>
      <c r="B494" t="s">
        <v>598</v>
      </c>
      <c r="C494" t="s">
        <v>413</v>
      </c>
      <c r="D494" t="s">
        <v>408</v>
      </c>
    </row>
    <row r="495">
      <c r="A495" t="s">
        <v>359</v>
      </c>
      <c r="B495" t="s">
        <v>877</v>
      </c>
      <c r="C495" t="s">
        <v>413</v>
      </c>
      <c r="D495" t="s">
        <v>408</v>
      </c>
    </row>
    <row r="496">
      <c r="A496" t="s">
        <v>359</v>
      </c>
      <c r="B496" t="s">
        <v>878</v>
      </c>
      <c r="C496" t="s">
        <v>413</v>
      </c>
      <c r="D496" t="s">
        <v>408</v>
      </c>
    </row>
    <row r="497">
      <c r="A497" t="s">
        <v>359</v>
      </c>
      <c r="B497" t="s">
        <v>879</v>
      </c>
      <c r="C497" t="s">
        <v>413</v>
      </c>
      <c r="D497" t="s">
        <v>408</v>
      </c>
    </row>
    <row r="498">
      <c r="A498" t="s">
        <v>359</v>
      </c>
      <c r="B498" t="s">
        <v>880</v>
      </c>
      <c r="C498" t="s">
        <v>413</v>
      </c>
      <c r="D498" t="s">
        <v>408</v>
      </c>
    </row>
    <row r="499">
      <c r="A499" t="s">
        <v>359</v>
      </c>
      <c r="B499" t="s">
        <v>881</v>
      </c>
      <c r="C499" t="s">
        <v>413</v>
      </c>
      <c r="D499" t="s">
        <v>408</v>
      </c>
    </row>
    <row r="500">
      <c r="A500" t="s">
        <v>359</v>
      </c>
      <c r="B500" t="s">
        <v>882</v>
      </c>
      <c r="C500" t="s">
        <v>413</v>
      </c>
      <c r="D500" t="s">
        <v>408</v>
      </c>
    </row>
    <row r="501">
      <c r="A501" t="s">
        <v>359</v>
      </c>
      <c r="B501" t="s">
        <v>414</v>
      </c>
      <c r="C501" t="s">
        <v>413</v>
      </c>
      <c r="D501" t="s">
        <v>408</v>
      </c>
    </row>
    <row r="502">
      <c r="A502" t="s">
        <v>359</v>
      </c>
      <c r="B502" t="s">
        <v>599</v>
      </c>
      <c r="C502" t="s">
        <v>413</v>
      </c>
      <c r="D502" t="s">
        <v>408</v>
      </c>
    </row>
    <row r="503">
      <c r="A503" t="s">
        <v>359</v>
      </c>
      <c r="B503" t="s">
        <v>600</v>
      </c>
      <c r="C503" t="s">
        <v>413</v>
      </c>
      <c r="D503" t="s">
        <v>408</v>
      </c>
    </row>
    <row r="504">
      <c r="A504" t="s">
        <v>359</v>
      </c>
      <c r="B504" t="s">
        <v>601</v>
      </c>
      <c r="C504" t="s">
        <v>413</v>
      </c>
      <c r="D504" t="s">
        <v>408</v>
      </c>
    </row>
    <row r="505">
      <c r="A505" t="s">
        <v>359</v>
      </c>
      <c r="B505" t="s">
        <v>883</v>
      </c>
      <c r="C505" t="s">
        <v>413</v>
      </c>
      <c r="D505" t="s">
        <v>408</v>
      </c>
    </row>
    <row r="506">
      <c r="A506" t="s">
        <v>359</v>
      </c>
      <c r="B506" t="s">
        <v>602</v>
      </c>
      <c r="C506" t="s">
        <v>413</v>
      </c>
      <c r="D506" t="s">
        <v>408</v>
      </c>
    </row>
    <row r="507">
      <c r="A507" t="s">
        <v>359</v>
      </c>
      <c r="B507" t="s">
        <v>884</v>
      </c>
      <c r="C507" t="s">
        <v>413</v>
      </c>
      <c r="D507" t="s">
        <v>408</v>
      </c>
    </row>
    <row r="508">
      <c r="A508" t="s">
        <v>359</v>
      </c>
      <c r="B508" t="s">
        <v>415</v>
      </c>
      <c r="C508" t="s">
        <v>413</v>
      </c>
      <c r="D508" t="s">
        <v>408</v>
      </c>
    </row>
    <row r="509">
      <c r="A509" t="s">
        <v>359</v>
      </c>
      <c r="B509" t="s">
        <v>885</v>
      </c>
      <c r="C509" t="s">
        <v>410</v>
      </c>
      <c r="D509" t="s">
        <v>408</v>
      </c>
    </row>
    <row r="510">
      <c r="A510" t="s">
        <v>359</v>
      </c>
      <c r="B510" t="s">
        <v>886</v>
      </c>
      <c r="C510" t="s">
        <v>491</v>
      </c>
      <c r="D510" t="s">
        <v>408</v>
      </c>
    </row>
    <row r="511">
      <c r="A511" t="s">
        <v>359</v>
      </c>
      <c r="B511" t="s">
        <v>462</v>
      </c>
      <c r="C511" t="s">
        <v>417</v>
      </c>
      <c r="D511" t="s">
        <v>408</v>
      </c>
    </row>
    <row r="512">
      <c r="A512" t="s">
        <v>359</v>
      </c>
      <c r="B512" t="s">
        <v>887</v>
      </c>
      <c r="C512" t="s">
        <v>491</v>
      </c>
      <c r="D512" t="s">
        <v>408</v>
      </c>
    </row>
    <row r="513">
      <c r="A513" t="s">
        <v>359</v>
      </c>
      <c r="B513" t="s">
        <v>606</v>
      </c>
      <c r="C513" t="s">
        <v>517</v>
      </c>
      <c r="D513" t="s">
        <v>408</v>
      </c>
    </row>
    <row r="514">
      <c r="A514" t="s">
        <v>359</v>
      </c>
      <c r="B514" t="s">
        <v>607</v>
      </c>
      <c r="C514" t="s">
        <v>507</v>
      </c>
      <c r="D514" t="s">
        <v>408</v>
      </c>
    </row>
    <row r="515">
      <c r="A515" t="s">
        <v>359</v>
      </c>
      <c r="B515" t="s">
        <v>888</v>
      </c>
      <c r="C515" t="s">
        <v>465</v>
      </c>
      <c r="D515" t="s">
        <v>408</v>
      </c>
    </row>
    <row r="516">
      <c r="A516" t="s">
        <v>359</v>
      </c>
      <c r="B516" t="s">
        <v>889</v>
      </c>
      <c r="C516" t="s">
        <v>491</v>
      </c>
      <c r="D516" t="s">
        <v>408</v>
      </c>
    </row>
    <row r="517">
      <c r="A517" t="s">
        <v>359</v>
      </c>
      <c r="B517" t="s">
        <v>617</v>
      </c>
      <c r="C517" t="s">
        <v>487</v>
      </c>
      <c r="D517" t="s">
        <v>408</v>
      </c>
    </row>
    <row r="518">
      <c r="A518" t="s">
        <v>359</v>
      </c>
      <c r="B518" t="s">
        <v>622</v>
      </c>
      <c r="C518" t="s">
        <v>623</v>
      </c>
      <c r="D518" t="s">
        <v>408</v>
      </c>
    </row>
    <row r="519">
      <c r="A519" t="s">
        <v>359</v>
      </c>
      <c r="B519" t="s">
        <v>758</v>
      </c>
      <c r="C519" t="s">
        <v>487</v>
      </c>
      <c r="D519" t="s">
        <v>408</v>
      </c>
    </row>
    <row r="520">
      <c r="A520" t="s">
        <v>359</v>
      </c>
      <c r="B520" t="s">
        <v>890</v>
      </c>
      <c r="C520" t="s">
        <v>492</v>
      </c>
      <c r="D520" t="s">
        <v>839</v>
      </c>
    </row>
    <row r="521">
      <c r="A521" t="s">
        <v>362</v>
      </c>
      <c r="B521" t="s">
        <v>891</v>
      </c>
      <c r="C521" t="s">
        <v>473</v>
      </c>
      <c r="D521" t="s">
        <v>411</v>
      </c>
    </row>
    <row r="522">
      <c r="A522" t="s">
        <v>362</v>
      </c>
      <c r="B522" t="s">
        <v>757</v>
      </c>
      <c r="C522" t="s">
        <v>487</v>
      </c>
      <c r="D522" t="s">
        <v>408</v>
      </c>
    </row>
    <row r="523">
      <c r="A523" t="s">
        <v>362</v>
      </c>
      <c r="B523" t="s">
        <v>888</v>
      </c>
      <c r="C523" t="s">
        <v>465</v>
      </c>
      <c r="D523" t="s">
        <v>408</v>
      </c>
    </row>
    <row r="524">
      <c r="A524" t="s">
        <v>362</v>
      </c>
      <c r="B524" t="s">
        <v>758</v>
      </c>
      <c r="C524" t="s">
        <v>487</v>
      </c>
      <c r="D524" t="s">
        <v>408</v>
      </c>
    </row>
    <row r="525">
      <c r="A525" t="s">
        <v>362</v>
      </c>
      <c r="B525" t="s">
        <v>855</v>
      </c>
      <c r="C525" t="s">
        <v>489</v>
      </c>
      <c r="D525" t="s">
        <v>408</v>
      </c>
    </row>
    <row r="526">
      <c r="A526" t="s">
        <v>362</v>
      </c>
      <c r="B526" t="s">
        <v>838</v>
      </c>
      <c r="C526" t="s">
        <v>489</v>
      </c>
      <c r="D526" t="s">
        <v>408</v>
      </c>
    </row>
    <row r="527">
      <c r="A527" t="s">
        <v>362</v>
      </c>
      <c r="B527" t="s">
        <v>840</v>
      </c>
      <c r="C527" t="s">
        <v>489</v>
      </c>
      <c r="D527" t="s">
        <v>408</v>
      </c>
    </row>
    <row r="528">
      <c r="A528" t="s">
        <v>362</v>
      </c>
      <c r="B528" t="s">
        <v>841</v>
      </c>
      <c r="C528" t="s">
        <v>489</v>
      </c>
      <c r="D528" t="s">
        <v>408</v>
      </c>
    </row>
    <row r="529">
      <c r="A529" t="s">
        <v>362</v>
      </c>
      <c r="B529" t="s">
        <v>890</v>
      </c>
      <c r="C529" t="s">
        <v>489</v>
      </c>
      <c r="D529" t="s">
        <v>408</v>
      </c>
    </row>
    <row r="530">
      <c r="A530" t="s">
        <v>363</v>
      </c>
      <c r="B530" t="s">
        <v>892</v>
      </c>
      <c r="C530" t="s">
        <v>419</v>
      </c>
      <c r="D530" t="s">
        <v>411</v>
      </c>
    </row>
    <row r="531">
      <c r="A531" t="s">
        <v>363</v>
      </c>
      <c r="B531" t="s">
        <v>893</v>
      </c>
      <c r="C531" t="s">
        <v>419</v>
      </c>
      <c r="D531" t="s">
        <v>411</v>
      </c>
    </row>
    <row r="532">
      <c r="A532" t="s">
        <v>363</v>
      </c>
      <c r="B532" t="s">
        <v>894</v>
      </c>
      <c r="C532" t="s">
        <v>419</v>
      </c>
      <c r="D532" t="s">
        <v>411</v>
      </c>
    </row>
    <row r="533">
      <c r="A533" t="s">
        <v>363</v>
      </c>
      <c r="B533" t="s">
        <v>895</v>
      </c>
      <c r="C533" t="s">
        <v>419</v>
      </c>
      <c r="D533" t="s">
        <v>411</v>
      </c>
    </row>
    <row r="534">
      <c r="A534" t="s">
        <v>363</v>
      </c>
      <c r="B534" t="s">
        <v>896</v>
      </c>
      <c r="C534" t="s">
        <v>419</v>
      </c>
      <c r="D534" t="s">
        <v>411</v>
      </c>
    </row>
    <row r="535">
      <c r="A535" t="s">
        <v>363</v>
      </c>
      <c r="B535" t="s">
        <v>897</v>
      </c>
      <c r="C535" t="s">
        <v>419</v>
      </c>
      <c r="D535" t="s">
        <v>411</v>
      </c>
    </row>
    <row r="536">
      <c r="A536" t="s">
        <v>363</v>
      </c>
      <c r="B536" t="s">
        <v>887</v>
      </c>
      <c r="C536" t="s">
        <v>491</v>
      </c>
      <c r="D536" t="s">
        <v>408</v>
      </c>
    </row>
    <row r="537">
      <c r="A537" t="s">
        <v>363</v>
      </c>
      <c r="B537" t="s">
        <v>889</v>
      </c>
      <c r="C537" t="s">
        <v>491</v>
      </c>
      <c r="D537" t="s">
        <v>408</v>
      </c>
    </row>
    <row r="538">
      <c r="A538" t="s">
        <v>363</v>
      </c>
      <c r="B538" t="s">
        <v>617</v>
      </c>
      <c r="C538" t="s">
        <v>487</v>
      </c>
      <c r="D538" t="s">
        <v>408</v>
      </c>
    </row>
    <row r="539">
      <c r="A539" t="s">
        <v>363</v>
      </c>
      <c r="B539" t="s">
        <v>618</v>
      </c>
      <c r="C539" t="s">
        <v>534</v>
      </c>
      <c r="D539" t="s">
        <v>408</v>
      </c>
    </row>
    <row r="540">
      <c r="A540" t="s">
        <v>363</v>
      </c>
      <c r="B540" t="s">
        <v>890</v>
      </c>
      <c r="C540" t="s">
        <v>489</v>
      </c>
      <c r="D540" t="s">
        <v>408</v>
      </c>
    </row>
    <row r="541">
      <c r="A541" t="s">
        <v>363</v>
      </c>
      <c r="B541" t="s">
        <v>898</v>
      </c>
      <c r="C541" t="s">
        <v>491</v>
      </c>
      <c r="D541" t="s">
        <v>408</v>
      </c>
    </row>
    <row r="542">
      <c r="A542" t="s">
        <v>363</v>
      </c>
      <c r="B542" t="s">
        <v>835</v>
      </c>
      <c r="C542" t="s">
        <v>491</v>
      </c>
      <c r="D542" t="s">
        <v>408</v>
      </c>
    </row>
    <row r="543">
      <c r="A543" t="s">
        <v>363</v>
      </c>
      <c r="B543" t="s">
        <v>624</v>
      </c>
      <c r="C543" t="s">
        <v>536</v>
      </c>
      <c r="D543" t="s">
        <v>408</v>
      </c>
    </row>
    <row r="544">
      <c r="A544" t="s">
        <v>363</v>
      </c>
      <c r="B544" t="s">
        <v>899</v>
      </c>
      <c r="C544" t="s">
        <v>473</v>
      </c>
      <c r="D544" t="s">
        <v>839</v>
      </c>
    </row>
    <row r="545">
      <c r="A545" t="s">
        <v>363</v>
      </c>
      <c r="B545" t="s">
        <v>900</v>
      </c>
      <c r="C545" t="s">
        <v>489</v>
      </c>
      <c r="D545" t="s">
        <v>408</v>
      </c>
    </row>
    <row r="546">
      <c r="A546" t="s">
        <v>363</v>
      </c>
      <c r="B546" t="s">
        <v>665</v>
      </c>
      <c r="C546" t="s">
        <v>489</v>
      </c>
      <c r="D546" t="s">
        <v>408</v>
      </c>
    </row>
    <row r="547">
      <c r="A547" t="s">
        <v>363</v>
      </c>
      <c r="B547" t="s">
        <v>837</v>
      </c>
      <c r="C547" t="s">
        <v>491</v>
      </c>
      <c r="D547" t="s">
        <v>408</v>
      </c>
    </row>
    <row r="548">
      <c r="A548" t="s">
        <v>363</v>
      </c>
      <c r="B548" t="s">
        <v>901</v>
      </c>
      <c r="C548" t="s">
        <v>494</v>
      </c>
      <c r="D548" t="s">
        <v>408</v>
      </c>
    </row>
    <row r="549">
      <c r="A549" t="s">
        <v>363</v>
      </c>
      <c r="B549" t="s">
        <v>902</v>
      </c>
      <c r="C549" t="s">
        <v>494</v>
      </c>
      <c r="D549" t="s">
        <v>839</v>
      </c>
    </row>
    <row r="550">
      <c r="A550" t="s">
        <v>363</v>
      </c>
      <c r="B550" t="s">
        <v>638</v>
      </c>
      <c r="C550" t="s">
        <v>536</v>
      </c>
      <c r="D550" t="s">
        <v>408</v>
      </c>
    </row>
    <row r="551">
      <c r="A551" t="s">
        <v>363</v>
      </c>
      <c r="B551" t="s">
        <v>903</v>
      </c>
      <c r="C551" t="s">
        <v>494</v>
      </c>
      <c r="D551" t="s">
        <v>408</v>
      </c>
    </row>
    <row r="552">
      <c r="A552" t="s">
        <v>363</v>
      </c>
      <c r="B552" t="s">
        <v>904</v>
      </c>
      <c r="C552" t="s">
        <v>494</v>
      </c>
      <c r="D552" t="s">
        <v>408</v>
      </c>
    </row>
    <row r="553">
      <c r="A553" t="s">
        <v>363</v>
      </c>
      <c r="B553" t="s">
        <v>905</v>
      </c>
      <c r="C553" t="s">
        <v>494</v>
      </c>
      <c r="D553" t="s">
        <v>408</v>
      </c>
    </row>
    <row r="554">
      <c r="A554" t="s">
        <v>363</v>
      </c>
      <c r="B554" t="s">
        <v>906</v>
      </c>
      <c r="C554" t="s">
        <v>494</v>
      </c>
      <c r="D554" t="s">
        <v>408</v>
      </c>
    </row>
    <row r="555">
      <c r="A555" t="s">
        <v>363</v>
      </c>
      <c r="B555" t="s">
        <v>838</v>
      </c>
      <c r="C555" t="s">
        <v>489</v>
      </c>
      <c r="D555" t="s">
        <v>408</v>
      </c>
    </row>
    <row r="556">
      <c r="A556" t="s">
        <v>363</v>
      </c>
      <c r="B556" t="s">
        <v>840</v>
      </c>
      <c r="C556" t="s">
        <v>489</v>
      </c>
      <c r="D556" t="s">
        <v>408</v>
      </c>
    </row>
    <row r="557">
      <c r="A557" t="s">
        <v>363</v>
      </c>
      <c r="B557" t="s">
        <v>841</v>
      </c>
      <c r="C557" t="s">
        <v>489</v>
      </c>
      <c r="D557" t="s">
        <v>408</v>
      </c>
    </row>
    <row r="558">
      <c r="A558" t="s">
        <v>363</v>
      </c>
      <c r="B558" t="s">
        <v>485</v>
      </c>
      <c r="C558" t="s">
        <v>473</v>
      </c>
      <c r="D558" t="s">
        <v>839</v>
      </c>
    </row>
    <row r="559">
      <c r="A559" t="s">
        <v>363</v>
      </c>
      <c r="B559" t="s">
        <v>488</v>
      </c>
      <c r="C559" t="s">
        <v>489</v>
      </c>
      <c r="D559" t="s">
        <v>408</v>
      </c>
    </row>
    <row r="560">
      <c r="A560" t="s">
        <v>363</v>
      </c>
      <c r="B560" t="s">
        <v>855</v>
      </c>
      <c r="C560" t="s">
        <v>489</v>
      </c>
      <c r="D560" t="s">
        <v>408</v>
      </c>
    </row>
    <row r="561">
      <c r="A561" t="s">
        <v>363</v>
      </c>
      <c r="B561" t="s">
        <v>851</v>
      </c>
      <c r="C561" t="s">
        <v>410</v>
      </c>
      <c r="D561" t="s">
        <v>408</v>
      </c>
    </row>
    <row r="562">
      <c r="A562" t="s">
        <v>363</v>
      </c>
      <c r="B562" t="s">
        <v>907</v>
      </c>
      <c r="C562" t="s">
        <v>410</v>
      </c>
      <c r="D562" t="s">
        <v>411</v>
      </c>
    </row>
    <row r="563">
      <c r="A563" t="s">
        <v>363</v>
      </c>
      <c r="B563" t="s">
        <v>908</v>
      </c>
      <c r="C563" t="s">
        <v>410</v>
      </c>
      <c r="D563" t="s">
        <v>411</v>
      </c>
    </row>
    <row r="564">
      <c r="A564" t="s">
        <v>363</v>
      </c>
      <c r="B564" t="s">
        <v>909</v>
      </c>
      <c r="C564" t="s">
        <v>910</v>
      </c>
      <c r="D564" t="s">
        <v>408</v>
      </c>
    </row>
    <row r="565">
      <c r="A565" t="s">
        <v>363</v>
      </c>
      <c r="B565" t="s">
        <v>861</v>
      </c>
      <c r="C565" t="s">
        <v>410</v>
      </c>
      <c r="D565" t="s">
        <v>408</v>
      </c>
    </row>
    <row r="566">
      <c r="A566" t="s">
        <v>363</v>
      </c>
      <c r="B566" t="s">
        <v>911</v>
      </c>
      <c r="C566" t="s">
        <v>410</v>
      </c>
      <c r="D566" t="s">
        <v>411</v>
      </c>
    </row>
    <row r="567">
      <c r="A567" t="s">
        <v>363</v>
      </c>
      <c r="B567" t="s">
        <v>604</v>
      </c>
      <c r="C567" t="s">
        <v>410</v>
      </c>
      <c r="D567" t="s">
        <v>408</v>
      </c>
    </row>
    <row r="568">
      <c r="A568" t="s">
        <v>363</v>
      </c>
      <c r="B568" t="s">
        <v>561</v>
      </c>
      <c r="C568" t="s">
        <v>491</v>
      </c>
      <c r="D568" t="s">
        <v>408</v>
      </c>
    </row>
    <row r="569">
      <c r="A569" t="s">
        <v>363</v>
      </c>
      <c r="B569" t="s">
        <v>886</v>
      </c>
      <c r="C569" t="s">
        <v>491</v>
      </c>
      <c r="D569" t="s">
        <v>408</v>
      </c>
    </row>
    <row r="570">
      <c r="A570" t="s">
        <v>363</v>
      </c>
      <c r="B570" t="s">
        <v>654</v>
      </c>
      <c r="C570" t="s">
        <v>417</v>
      </c>
      <c r="D570" t="s">
        <v>408</v>
      </c>
    </row>
    <row r="571">
      <c r="A571" t="s">
        <v>363</v>
      </c>
      <c r="B571" t="s">
        <v>416</v>
      </c>
      <c r="C571" t="s">
        <v>417</v>
      </c>
      <c r="D571" t="s">
        <v>408</v>
      </c>
    </row>
    <row r="572">
      <c r="A572" t="s">
        <v>363</v>
      </c>
      <c r="B572" t="s">
        <v>912</v>
      </c>
      <c r="C572" t="s">
        <v>417</v>
      </c>
      <c r="D572" t="s">
        <v>408</v>
      </c>
    </row>
    <row r="573">
      <c r="A573" t="s">
        <v>363</v>
      </c>
      <c r="B573" t="s">
        <v>913</v>
      </c>
      <c r="C573" t="s">
        <v>417</v>
      </c>
      <c r="D573" t="s">
        <v>408</v>
      </c>
    </row>
    <row r="574">
      <c r="A574" t="s">
        <v>363</v>
      </c>
      <c r="B574" t="s">
        <v>429</v>
      </c>
      <c r="C574" t="s">
        <v>417</v>
      </c>
      <c r="D574" t="s">
        <v>408</v>
      </c>
    </row>
    <row r="575">
      <c r="A575" t="s">
        <v>363</v>
      </c>
      <c r="B575" t="s">
        <v>448</v>
      </c>
      <c r="C575" t="s">
        <v>417</v>
      </c>
      <c r="D575" t="s">
        <v>408</v>
      </c>
    </row>
    <row r="576">
      <c r="A576" t="s">
        <v>363</v>
      </c>
      <c r="B576" t="s">
        <v>454</v>
      </c>
      <c r="C576" t="s">
        <v>417</v>
      </c>
      <c r="D576" t="s">
        <v>408</v>
      </c>
    </row>
    <row r="577">
      <c r="A577" t="s">
        <v>363</v>
      </c>
      <c r="B577" t="s">
        <v>460</v>
      </c>
      <c r="C577" t="s">
        <v>417</v>
      </c>
      <c r="D577" t="s">
        <v>408</v>
      </c>
    </row>
    <row r="578">
      <c r="A578" t="s">
        <v>363</v>
      </c>
      <c r="B578" t="s">
        <v>462</v>
      </c>
      <c r="C578" t="s">
        <v>417</v>
      </c>
      <c r="D578" t="s">
        <v>408</v>
      </c>
    </row>
    <row r="579">
      <c r="A579" t="s">
        <v>364</v>
      </c>
      <c r="B579" t="s">
        <v>914</v>
      </c>
      <c r="C579" t="s">
        <v>410</v>
      </c>
      <c r="D579" t="s">
        <v>408</v>
      </c>
    </row>
    <row r="580">
      <c r="A580" t="s">
        <v>364</v>
      </c>
      <c r="B580" t="s">
        <v>915</v>
      </c>
      <c r="C580" t="s">
        <v>507</v>
      </c>
      <c r="D580" t="s">
        <v>408</v>
      </c>
    </row>
    <row r="581">
      <c r="A581" t="s">
        <v>364</v>
      </c>
      <c r="B581" t="s">
        <v>916</v>
      </c>
      <c r="C581" t="s">
        <v>410</v>
      </c>
      <c r="D581" t="s">
        <v>408</v>
      </c>
    </row>
    <row r="582">
      <c r="A582" t="s">
        <v>364</v>
      </c>
      <c r="B582" t="s">
        <v>917</v>
      </c>
      <c r="C582" t="s">
        <v>410</v>
      </c>
      <c r="D582" t="s">
        <v>408</v>
      </c>
    </row>
    <row r="583">
      <c r="A583" t="s">
        <v>364</v>
      </c>
      <c r="B583" t="s">
        <v>918</v>
      </c>
      <c r="C583" t="s">
        <v>410</v>
      </c>
      <c r="D583" t="s">
        <v>408</v>
      </c>
    </row>
    <row r="584">
      <c r="A584" t="s">
        <v>364</v>
      </c>
      <c r="B584" t="s">
        <v>919</v>
      </c>
      <c r="C584" t="s">
        <v>413</v>
      </c>
      <c r="D584" t="s">
        <v>408</v>
      </c>
    </row>
    <row r="585">
      <c r="A585" t="s">
        <v>364</v>
      </c>
      <c r="B585" t="s">
        <v>920</v>
      </c>
      <c r="C585" t="s">
        <v>413</v>
      </c>
      <c r="D585" t="s">
        <v>408</v>
      </c>
    </row>
    <row r="586">
      <c r="A586" t="s">
        <v>364</v>
      </c>
      <c r="B586" t="s">
        <v>921</v>
      </c>
      <c r="C586" t="s">
        <v>413</v>
      </c>
      <c r="D586" t="s">
        <v>408</v>
      </c>
    </row>
    <row r="587">
      <c r="A587" t="s">
        <v>364</v>
      </c>
      <c r="B587" t="s">
        <v>922</v>
      </c>
      <c r="C587" t="s">
        <v>413</v>
      </c>
      <c r="D587" t="s">
        <v>408</v>
      </c>
    </row>
    <row r="588">
      <c r="A588" t="s">
        <v>364</v>
      </c>
      <c r="B588" t="s">
        <v>923</v>
      </c>
      <c r="C588" t="s">
        <v>413</v>
      </c>
      <c r="D588" t="s">
        <v>408</v>
      </c>
    </row>
    <row r="589">
      <c r="A589" t="s">
        <v>364</v>
      </c>
      <c r="B589" t="s">
        <v>924</v>
      </c>
      <c r="C589" t="s">
        <v>413</v>
      </c>
      <c r="D589" t="s">
        <v>408</v>
      </c>
    </row>
    <row r="590">
      <c r="A590" t="s">
        <v>364</v>
      </c>
      <c r="B590" t="s">
        <v>925</v>
      </c>
      <c r="C590" t="s">
        <v>413</v>
      </c>
      <c r="D590" t="s">
        <v>408</v>
      </c>
    </row>
    <row r="591">
      <c r="A591" t="s">
        <v>364</v>
      </c>
      <c r="B591" t="s">
        <v>926</v>
      </c>
      <c r="C591" t="s">
        <v>413</v>
      </c>
      <c r="D591" t="s">
        <v>408</v>
      </c>
    </row>
    <row r="592">
      <c r="A592" t="s">
        <v>364</v>
      </c>
      <c r="B592" t="s">
        <v>927</v>
      </c>
      <c r="C592" t="s">
        <v>413</v>
      </c>
      <c r="D592" t="s">
        <v>408</v>
      </c>
    </row>
    <row r="593">
      <c r="A593" t="s">
        <v>364</v>
      </c>
      <c r="B593" t="s">
        <v>928</v>
      </c>
      <c r="C593" t="s">
        <v>413</v>
      </c>
      <c r="D593" t="s">
        <v>408</v>
      </c>
    </row>
    <row r="594">
      <c r="A594" t="s">
        <v>364</v>
      </c>
      <c r="B594" t="s">
        <v>929</v>
      </c>
      <c r="C594" t="s">
        <v>413</v>
      </c>
      <c r="D594" t="s">
        <v>408</v>
      </c>
    </row>
    <row r="595">
      <c r="A595" t="s">
        <v>364</v>
      </c>
      <c r="B595" t="s">
        <v>930</v>
      </c>
      <c r="C595" t="s">
        <v>413</v>
      </c>
      <c r="D595" t="s">
        <v>408</v>
      </c>
    </row>
    <row r="596">
      <c r="A596" t="s">
        <v>364</v>
      </c>
      <c r="B596" t="s">
        <v>931</v>
      </c>
      <c r="C596" t="s">
        <v>413</v>
      </c>
      <c r="D596" t="s">
        <v>408</v>
      </c>
    </row>
    <row r="597">
      <c r="A597" t="s">
        <v>364</v>
      </c>
      <c r="B597" t="s">
        <v>932</v>
      </c>
      <c r="C597" t="s">
        <v>487</v>
      </c>
      <c r="D597" t="s">
        <v>408</v>
      </c>
    </row>
    <row r="598">
      <c r="A598" t="s">
        <v>364</v>
      </c>
      <c r="B598" t="s">
        <v>933</v>
      </c>
      <c r="C598" t="s">
        <v>492</v>
      </c>
      <c r="D598" t="s">
        <v>408</v>
      </c>
    </row>
    <row r="599">
      <c r="A599" t="s">
        <v>364</v>
      </c>
      <c r="B599" t="s">
        <v>934</v>
      </c>
      <c r="C599" t="s">
        <v>492</v>
      </c>
      <c r="D599" t="s">
        <v>408</v>
      </c>
    </row>
    <row r="600">
      <c r="A600" t="s">
        <v>364</v>
      </c>
      <c r="B600" t="s">
        <v>935</v>
      </c>
      <c r="C600" t="s">
        <v>489</v>
      </c>
      <c r="D600" t="s">
        <v>408</v>
      </c>
    </row>
    <row r="601">
      <c r="A601" t="s">
        <v>364</v>
      </c>
      <c r="B601" t="s">
        <v>935</v>
      </c>
      <c r="C601" t="s">
        <v>492</v>
      </c>
      <c r="D601" t="s">
        <v>408</v>
      </c>
    </row>
    <row r="602">
      <c r="A602" t="s">
        <v>364</v>
      </c>
      <c r="B602" t="s">
        <v>936</v>
      </c>
      <c r="C602" t="s">
        <v>465</v>
      </c>
      <c r="D602" t="s">
        <v>408</v>
      </c>
    </row>
    <row r="603">
      <c r="A603" t="s">
        <v>364</v>
      </c>
      <c r="B603" t="s">
        <v>937</v>
      </c>
      <c r="C603" t="s">
        <v>492</v>
      </c>
      <c r="D603" t="s">
        <v>408</v>
      </c>
    </row>
    <row r="604">
      <c r="A604" t="s">
        <v>364</v>
      </c>
      <c r="B604" t="s">
        <v>938</v>
      </c>
      <c r="C604" t="s">
        <v>489</v>
      </c>
      <c r="D604" t="s">
        <v>408</v>
      </c>
    </row>
    <row r="605">
      <c r="A605" t="s">
        <v>364</v>
      </c>
      <c r="B605" t="s">
        <v>938</v>
      </c>
      <c r="C605" t="s">
        <v>492</v>
      </c>
      <c r="D605" t="s">
        <v>408</v>
      </c>
    </row>
    <row r="606">
      <c r="A606" t="s">
        <v>364</v>
      </c>
      <c r="B606" t="s">
        <v>939</v>
      </c>
      <c r="C606" t="s">
        <v>489</v>
      </c>
      <c r="D606" t="s">
        <v>408</v>
      </c>
    </row>
    <row r="607">
      <c r="A607" t="s">
        <v>364</v>
      </c>
      <c r="B607" t="s">
        <v>939</v>
      </c>
      <c r="C607" t="s">
        <v>492</v>
      </c>
      <c r="D607" t="s">
        <v>408</v>
      </c>
    </row>
    <row r="608">
      <c r="A608" t="s">
        <v>364</v>
      </c>
      <c r="B608" t="s">
        <v>406</v>
      </c>
      <c r="C608" t="s">
        <v>487</v>
      </c>
      <c r="D608" t="s">
        <v>408</v>
      </c>
    </row>
    <row r="609">
      <c r="A609" t="s">
        <v>364</v>
      </c>
      <c r="B609" t="s">
        <v>940</v>
      </c>
      <c r="C609" t="s">
        <v>492</v>
      </c>
      <c r="D609" t="s">
        <v>408</v>
      </c>
    </row>
    <row r="610">
      <c r="A610" t="s">
        <v>364</v>
      </c>
      <c r="B610" t="s">
        <v>941</v>
      </c>
      <c r="C610" t="s">
        <v>492</v>
      </c>
      <c r="D610" t="s">
        <v>408</v>
      </c>
    </row>
    <row r="611">
      <c r="A611" t="s">
        <v>364</v>
      </c>
      <c r="B611" t="s">
        <v>942</v>
      </c>
      <c r="C611" t="s">
        <v>489</v>
      </c>
      <c r="D611" t="s">
        <v>408</v>
      </c>
    </row>
    <row r="612">
      <c r="A612" t="s">
        <v>364</v>
      </c>
      <c r="B612" t="s">
        <v>942</v>
      </c>
      <c r="C612" t="s">
        <v>492</v>
      </c>
      <c r="D612" t="s">
        <v>408</v>
      </c>
    </row>
    <row r="613">
      <c r="A613" t="s">
        <v>364</v>
      </c>
      <c r="B613" t="s">
        <v>943</v>
      </c>
      <c r="C613" t="s">
        <v>473</v>
      </c>
      <c r="D613" t="s">
        <v>408</v>
      </c>
    </row>
    <row r="614">
      <c r="A614" t="s">
        <v>364</v>
      </c>
      <c r="B614" t="s">
        <v>692</v>
      </c>
      <c r="C614" t="s">
        <v>487</v>
      </c>
      <c r="D614" t="s">
        <v>408</v>
      </c>
    </row>
    <row r="615">
      <c r="A615" t="s">
        <v>364</v>
      </c>
      <c r="B615" t="s">
        <v>944</v>
      </c>
      <c r="C615" t="s">
        <v>491</v>
      </c>
      <c r="D615" t="s">
        <v>408</v>
      </c>
    </row>
    <row r="616">
      <c r="A616" t="s">
        <v>364</v>
      </c>
      <c r="B616" t="s">
        <v>945</v>
      </c>
      <c r="C616" t="s">
        <v>487</v>
      </c>
      <c r="D616" t="s">
        <v>408</v>
      </c>
    </row>
    <row r="617">
      <c r="A617" t="s">
        <v>364</v>
      </c>
      <c r="B617" t="s">
        <v>946</v>
      </c>
      <c r="C617" t="s">
        <v>487</v>
      </c>
      <c r="D617" t="s">
        <v>408</v>
      </c>
    </row>
    <row r="618">
      <c r="A618" t="s">
        <v>364</v>
      </c>
      <c r="B618" t="s">
        <v>947</v>
      </c>
      <c r="C618" t="s">
        <v>507</v>
      </c>
      <c r="D618" t="s">
        <v>408</v>
      </c>
    </row>
    <row r="619">
      <c r="A619" t="s">
        <v>364</v>
      </c>
      <c r="B619" t="s">
        <v>948</v>
      </c>
      <c r="C619" t="s">
        <v>410</v>
      </c>
      <c r="D619" t="s">
        <v>408</v>
      </c>
    </row>
    <row r="620">
      <c r="A620" t="s">
        <v>365</v>
      </c>
      <c r="B620" t="s">
        <v>949</v>
      </c>
      <c r="C620" t="s">
        <v>410</v>
      </c>
      <c r="D620" t="s">
        <v>408</v>
      </c>
    </row>
    <row r="621">
      <c r="A621" t="s">
        <v>365</v>
      </c>
      <c r="B621" t="s">
        <v>950</v>
      </c>
      <c r="C621" t="s">
        <v>410</v>
      </c>
      <c r="D621" t="s">
        <v>408</v>
      </c>
    </row>
    <row r="622">
      <c r="A622" t="s">
        <v>365</v>
      </c>
      <c r="B622" t="s">
        <v>951</v>
      </c>
      <c r="C622" t="s">
        <v>410</v>
      </c>
      <c r="D622" t="s">
        <v>408</v>
      </c>
    </row>
    <row r="623">
      <c r="A623" t="s">
        <v>365</v>
      </c>
      <c r="B623" t="s">
        <v>952</v>
      </c>
      <c r="C623" t="s">
        <v>410</v>
      </c>
      <c r="D623" t="s">
        <v>408</v>
      </c>
    </row>
    <row r="624">
      <c r="A624" t="s">
        <v>365</v>
      </c>
      <c r="B624" t="s">
        <v>953</v>
      </c>
      <c r="C624" t="s">
        <v>410</v>
      </c>
      <c r="D624" t="s">
        <v>408</v>
      </c>
    </row>
    <row r="625">
      <c r="A625" t="s">
        <v>365</v>
      </c>
      <c r="B625" t="s">
        <v>954</v>
      </c>
      <c r="C625" t="s">
        <v>410</v>
      </c>
      <c r="D625" t="s">
        <v>408</v>
      </c>
    </row>
    <row r="626">
      <c r="A626" t="s">
        <v>365</v>
      </c>
      <c r="B626" t="s">
        <v>955</v>
      </c>
      <c r="C626" t="s">
        <v>410</v>
      </c>
      <c r="D626" t="s">
        <v>408</v>
      </c>
    </row>
    <row r="627">
      <c r="A627" t="s">
        <v>365</v>
      </c>
      <c r="B627" t="s">
        <v>956</v>
      </c>
      <c r="C627" t="s">
        <v>410</v>
      </c>
      <c r="D627" t="s">
        <v>408</v>
      </c>
    </row>
    <row r="628">
      <c r="A628" t="s">
        <v>365</v>
      </c>
      <c r="B628" t="s">
        <v>957</v>
      </c>
      <c r="C628" t="s">
        <v>410</v>
      </c>
      <c r="D628" t="s">
        <v>408</v>
      </c>
    </row>
    <row r="629">
      <c r="A629" t="s">
        <v>365</v>
      </c>
      <c r="B629" t="s">
        <v>958</v>
      </c>
      <c r="C629" t="s">
        <v>410</v>
      </c>
      <c r="D629" t="s">
        <v>408</v>
      </c>
    </row>
    <row r="630">
      <c r="A630" t="s">
        <v>365</v>
      </c>
      <c r="B630" t="s">
        <v>959</v>
      </c>
      <c r="C630" t="s">
        <v>410</v>
      </c>
      <c r="D630" t="s">
        <v>408</v>
      </c>
    </row>
    <row r="631">
      <c r="A631" t="s">
        <v>365</v>
      </c>
      <c r="B631" t="s">
        <v>960</v>
      </c>
      <c r="C631" t="s">
        <v>410</v>
      </c>
      <c r="D631" t="s">
        <v>408</v>
      </c>
    </row>
    <row r="632">
      <c r="A632" t="s">
        <v>365</v>
      </c>
      <c r="B632" t="s">
        <v>961</v>
      </c>
      <c r="C632" t="s">
        <v>410</v>
      </c>
      <c r="D632" t="s">
        <v>408</v>
      </c>
    </row>
    <row r="633">
      <c r="A633" t="s">
        <v>365</v>
      </c>
      <c r="B633" t="s">
        <v>962</v>
      </c>
      <c r="C633" t="s">
        <v>410</v>
      </c>
      <c r="D633" t="s">
        <v>408</v>
      </c>
    </row>
    <row r="634">
      <c r="A634" t="s">
        <v>365</v>
      </c>
      <c r="B634" t="s">
        <v>963</v>
      </c>
      <c r="C634" t="s">
        <v>410</v>
      </c>
      <c r="D634" t="s">
        <v>408</v>
      </c>
    </row>
    <row r="635">
      <c r="A635" t="s">
        <v>365</v>
      </c>
      <c r="B635" t="s">
        <v>964</v>
      </c>
      <c r="C635" t="s">
        <v>410</v>
      </c>
      <c r="D635" t="s">
        <v>408</v>
      </c>
    </row>
    <row r="636">
      <c r="A636" t="s">
        <v>365</v>
      </c>
      <c r="B636" t="s">
        <v>965</v>
      </c>
      <c r="C636" t="s">
        <v>410</v>
      </c>
      <c r="D636" t="s">
        <v>408</v>
      </c>
    </row>
    <row r="637">
      <c r="A637" t="s">
        <v>365</v>
      </c>
      <c r="B637" t="s">
        <v>966</v>
      </c>
      <c r="C637" t="s">
        <v>465</v>
      </c>
      <c r="D637" t="s">
        <v>408</v>
      </c>
    </row>
    <row r="638">
      <c r="A638" t="s">
        <v>365</v>
      </c>
      <c r="B638" t="s">
        <v>967</v>
      </c>
      <c r="C638" t="s">
        <v>487</v>
      </c>
      <c r="D638" t="s">
        <v>408</v>
      </c>
    </row>
    <row r="639">
      <c r="A639" t="s">
        <v>365</v>
      </c>
      <c r="B639" t="s">
        <v>968</v>
      </c>
      <c r="C639" t="s">
        <v>473</v>
      </c>
      <c r="D639" t="s">
        <v>408</v>
      </c>
    </row>
    <row r="640">
      <c r="A640" t="s">
        <v>365</v>
      </c>
      <c r="B640" t="s">
        <v>969</v>
      </c>
      <c r="C640" t="s">
        <v>413</v>
      </c>
      <c r="D640" t="s">
        <v>408</v>
      </c>
    </row>
    <row r="641">
      <c r="A641" t="s">
        <v>365</v>
      </c>
      <c r="B641" t="s">
        <v>970</v>
      </c>
      <c r="C641" t="s">
        <v>413</v>
      </c>
      <c r="D641" t="s">
        <v>408</v>
      </c>
    </row>
    <row r="642">
      <c r="A642" t="s">
        <v>365</v>
      </c>
      <c r="B642" t="s">
        <v>971</v>
      </c>
      <c r="C642" t="s">
        <v>413</v>
      </c>
      <c r="D642" t="s">
        <v>408</v>
      </c>
    </row>
    <row r="643">
      <c r="A643" t="s">
        <v>365</v>
      </c>
      <c r="B643" t="s">
        <v>972</v>
      </c>
      <c r="C643" t="s">
        <v>410</v>
      </c>
      <c r="D643" t="s">
        <v>408</v>
      </c>
    </row>
    <row r="644">
      <c r="A644" t="s">
        <v>365</v>
      </c>
      <c r="B644" t="s">
        <v>973</v>
      </c>
      <c r="C644" t="s">
        <v>496</v>
      </c>
      <c r="D644" t="s">
        <v>408</v>
      </c>
    </row>
    <row r="645">
      <c r="A645" t="s">
        <v>367</v>
      </c>
      <c r="B645" t="s">
        <v>558</v>
      </c>
      <c r="C645" t="s">
        <v>413</v>
      </c>
      <c r="D645" t="s">
        <v>408</v>
      </c>
    </row>
    <row r="646">
      <c r="A646" t="s">
        <v>367</v>
      </c>
      <c r="B646" t="s">
        <v>513</v>
      </c>
      <c r="C646" t="s">
        <v>413</v>
      </c>
      <c r="D646" t="s">
        <v>408</v>
      </c>
    </row>
    <row r="647">
      <c r="A647" t="s">
        <v>367</v>
      </c>
      <c r="B647" t="s">
        <v>514</v>
      </c>
      <c r="C647" t="s">
        <v>413</v>
      </c>
      <c r="D647" t="s">
        <v>408</v>
      </c>
    </row>
    <row r="648">
      <c r="A648" t="s">
        <v>367</v>
      </c>
      <c r="B648" t="s">
        <v>518</v>
      </c>
      <c r="C648" t="s">
        <v>507</v>
      </c>
      <c r="D648" t="s">
        <v>408</v>
      </c>
    </row>
    <row r="649">
      <c r="A649" t="s">
        <v>367</v>
      </c>
      <c r="B649" t="s">
        <v>557</v>
      </c>
      <c r="C649" t="s">
        <v>507</v>
      </c>
      <c r="D649" t="s">
        <v>408</v>
      </c>
    </row>
    <row r="650">
      <c r="A650" t="s">
        <v>367</v>
      </c>
      <c r="B650" t="s">
        <v>552</v>
      </c>
      <c r="C650" t="s">
        <v>487</v>
      </c>
      <c r="D650" t="s">
        <v>408</v>
      </c>
    </row>
    <row r="651">
      <c r="A651" t="s">
        <v>367</v>
      </c>
      <c r="B651" t="s">
        <v>553</v>
      </c>
      <c r="C651" t="s">
        <v>465</v>
      </c>
      <c r="D651" t="s">
        <v>408</v>
      </c>
    </row>
    <row r="652">
      <c r="A652" t="s">
        <v>367</v>
      </c>
      <c r="B652" t="s">
        <v>555</v>
      </c>
      <c r="C652" t="s">
        <v>507</v>
      </c>
      <c r="D652" t="s">
        <v>408</v>
      </c>
    </row>
    <row r="653">
      <c r="A653" t="s">
        <v>367</v>
      </c>
      <c r="B653" t="s">
        <v>556</v>
      </c>
      <c r="C653" t="s">
        <v>507</v>
      </c>
      <c r="D653" t="s">
        <v>408</v>
      </c>
    </row>
    <row r="654">
      <c r="A654" t="s">
        <v>367</v>
      </c>
      <c r="B654" t="s">
        <v>532</v>
      </c>
      <c r="C654" t="s">
        <v>487</v>
      </c>
      <c r="D654" t="s">
        <v>408</v>
      </c>
    </row>
    <row r="655">
      <c r="A655" t="s">
        <v>368</v>
      </c>
      <c r="B655" t="s">
        <v>935</v>
      </c>
      <c r="C655" t="s">
        <v>489</v>
      </c>
      <c r="D655" t="s">
        <v>408</v>
      </c>
    </row>
    <row r="656">
      <c r="A656" t="s">
        <v>368</v>
      </c>
      <c r="B656" t="s">
        <v>942</v>
      </c>
      <c r="C656" t="s">
        <v>489</v>
      </c>
      <c r="D656" t="s">
        <v>408</v>
      </c>
    </row>
    <row r="657">
      <c r="A657" t="s">
        <v>368</v>
      </c>
      <c r="B657" t="s">
        <v>939</v>
      </c>
      <c r="C657" t="s">
        <v>489</v>
      </c>
      <c r="D657" t="s">
        <v>408</v>
      </c>
    </row>
    <row r="658">
      <c r="A658" t="s">
        <v>368</v>
      </c>
      <c r="B658" t="s">
        <v>938</v>
      </c>
      <c r="C658" t="s">
        <v>489</v>
      </c>
      <c r="D658" t="s">
        <v>408</v>
      </c>
    </row>
    <row r="659">
      <c r="A659" t="s">
        <v>369</v>
      </c>
      <c r="B659" t="s">
        <v>972</v>
      </c>
      <c r="C659" t="s">
        <v>410</v>
      </c>
      <c r="D659" t="s">
        <v>408</v>
      </c>
    </row>
    <row r="660">
      <c r="A660" t="s">
        <v>369</v>
      </c>
      <c r="B660" t="s">
        <v>974</v>
      </c>
      <c r="C660" t="s">
        <v>410</v>
      </c>
      <c r="D660" t="s">
        <v>408</v>
      </c>
    </row>
    <row r="661">
      <c r="A661" t="s">
        <v>369</v>
      </c>
      <c r="B661" t="s">
        <v>975</v>
      </c>
      <c r="C661" t="s">
        <v>410</v>
      </c>
      <c r="D661" t="s">
        <v>408</v>
      </c>
    </row>
    <row r="662">
      <c r="A662" t="s">
        <v>369</v>
      </c>
      <c r="B662" t="s">
        <v>976</v>
      </c>
      <c r="C662" t="s">
        <v>494</v>
      </c>
      <c r="D662" t="s">
        <v>408</v>
      </c>
    </row>
    <row r="663">
      <c r="A663" t="s">
        <v>369</v>
      </c>
      <c r="B663" t="s">
        <v>977</v>
      </c>
      <c r="C663" t="s">
        <v>410</v>
      </c>
      <c r="D663" t="s">
        <v>408</v>
      </c>
    </row>
    <row r="664">
      <c r="A664" t="s">
        <v>369</v>
      </c>
      <c r="B664" t="s">
        <v>966</v>
      </c>
      <c r="C664" t="s">
        <v>465</v>
      </c>
      <c r="D664" t="s">
        <v>408</v>
      </c>
    </row>
    <row r="665">
      <c r="A665" t="s">
        <v>369</v>
      </c>
      <c r="B665" t="s">
        <v>978</v>
      </c>
      <c r="C665" t="s">
        <v>491</v>
      </c>
      <c r="D665" t="s">
        <v>408</v>
      </c>
    </row>
    <row r="666">
      <c r="A666" t="s">
        <v>369</v>
      </c>
      <c r="B666" t="s">
        <v>979</v>
      </c>
      <c r="C666" t="s">
        <v>410</v>
      </c>
      <c r="D666" t="s">
        <v>408</v>
      </c>
    </row>
    <row r="667">
      <c r="A667" t="s">
        <v>370</v>
      </c>
      <c r="B667" t="s">
        <v>935</v>
      </c>
      <c r="C667" t="s">
        <v>489</v>
      </c>
      <c r="D667" t="s">
        <v>408</v>
      </c>
    </row>
    <row r="668">
      <c r="A668" t="s">
        <v>370</v>
      </c>
      <c r="B668" t="s">
        <v>938</v>
      </c>
      <c r="C668" t="s">
        <v>489</v>
      </c>
      <c r="D668" t="s">
        <v>408</v>
      </c>
    </row>
    <row r="669">
      <c r="A669" t="s">
        <v>370</v>
      </c>
      <c r="B669" t="s">
        <v>980</v>
      </c>
      <c r="C669" t="s">
        <v>473</v>
      </c>
      <c r="D669" t="s">
        <v>411</v>
      </c>
    </row>
    <row r="670">
      <c r="A670" t="s">
        <v>370</v>
      </c>
      <c r="B670" t="s">
        <v>942</v>
      </c>
      <c r="C670" t="s">
        <v>489</v>
      </c>
      <c r="D670" t="s">
        <v>408</v>
      </c>
    </row>
    <row r="671">
      <c r="A671" t="s">
        <v>370</v>
      </c>
      <c r="B671" t="s">
        <v>939</v>
      </c>
      <c r="C671" t="s">
        <v>489</v>
      </c>
      <c r="D671" t="s">
        <v>408</v>
      </c>
    </row>
    <row r="672">
      <c r="A672" t="s">
        <v>371</v>
      </c>
      <c r="B672" t="s">
        <v>981</v>
      </c>
      <c r="C672" t="s">
        <v>410</v>
      </c>
      <c r="D672" t="s">
        <v>411</v>
      </c>
    </row>
    <row r="673">
      <c r="A673" t="s">
        <v>371</v>
      </c>
      <c r="B673" t="s">
        <v>982</v>
      </c>
      <c r="C673" t="s">
        <v>410</v>
      </c>
      <c r="D673" t="s">
        <v>411</v>
      </c>
    </row>
    <row r="674">
      <c r="A674" t="s">
        <v>371</v>
      </c>
      <c r="B674" t="s">
        <v>983</v>
      </c>
      <c r="C674" t="s">
        <v>410</v>
      </c>
      <c r="D674" t="s">
        <v>411</v>
      </c>
    </row>
    <row r="675">
      <c r="A675" t="s">
        <v>371</v>
      </c>
      <c r="B675" t="s">
        <v>984</v>
      </c>
      <c r="C675" t="s">
        <v>410</v>
      </c>
      <c r="D675" t="s">
        <v>411</v>
      </c>
    </row>
    <row r="676">
      <c r="A676" t="s">
        <v>371</v>
      </c>
      <c r="B676" t="s">
        <v>985</v>
      </c>
      <c r="C676" t="s">
        <v>410</v>
      </c>
      <c r="D676" t="s">
        <v>411</v>
      </c>
    </row>
    <row r="677">
      <c r="A677" t="s">
        <v>371</v>
      </c>
      <c r="B677" t="s">
        <v>986</v>
      </c>
      <c r="C677" t="s">
        <v>410</v>
      </c>
      <c r="D677" t="s">
        <v>411</v>
      </c>
    </row>
    <row r="678">
      <c r="A678" t="s">
        <v>371</v>
      </c>
      <c r="B678" t="s">
        <v>987</v>
      </c>
      <c r="C678" t="s">
        <v>410</v>
      </c>
      <c r="D678" t="s">
        <v>411</v>
      </c>
    </row>
    <row r="679">
      <c r="A679" t="s">
        <v>371</v>
      </c>
      <c r="B679" t="s">
        <v>988</v>
      </c>
      <c r="C679" t="s">
        <v>410</v>
      </c>
      <c r="D679" t="s">
        <v>411</v>
      </c>
    </row>
    <row r="680">
      <c r="A680" t="s">
        <v>371</v>
      </c>
      <c r="B680" t="s">
        <v>989</v>
      </c>
      <c r="C680" t="s">
        <v>410</v>
      </c>
      <c r="D680" t="s">
        <v>411</v>
      </c>
    </row>
    <row r="681">
      <c r="A681" t="s">
        <v>371</v>
      </c>
      <c r="B681" t="s">
        <v>990</v>
      </c>
      <c r="C681" t="s">
        <v>410</v>
      </c>
      <c r="D681" t="s">
        <v>411</v>
      </c>
    </row>
    <row r="682">
      <c r="A682" t="s">
        <v>371</v>
      </c>
      <c r="B682" t="s">
        <v>991</v>
      </c>
      <c r="C682" t="s">
        <v>410</v>
      </c>
      <c r="D682" t="s">
        <v>411</v>
      </c>
    </row>
    <row r="683">
      <c r="A683" t="s">
        <v>371</v>
      </c>
      <c r="B683" t="s">
        <v>992</v>
      </c>
      <c r="C683" t="s">
        <v>410</v>
      </c>
      <c r="D683" t="s">
        <v>411</v>
      </c>
    </row>
    <row r="684">
      <c r="A684" t="s">
        <v>371</v>
      </c>
      <c r="B684" t="s">
        <v>886</v>
      </c>
      <c r="C684" t="s">
        <v>491</v>
      </c>
      <c r="D684" t="s">
        <v>408</v>
      </c>
    </row>
    <row r="685">
      <c r="A685" t="s">
        <v>371</v>
      </c>
      <c r="B685" t="s">
        <v>887</v>
      </c>
      <c r="C685" t="s">
        <v>491</v>
      </c>
      <c r="D685" t="s">
        <v>408</v>
      </c>
    </row>
    <row r="686">
      <c r="A686" t="s">
        <v>371</v>
      </c>
      <c r="B686" t="s">
        <v>812</v>
      </c>
      <c r="C686" t="s">
        <v>507</v>
      </c>
      <c r="D686" t="s">
        <v>408</v>
      </c>
    </row>
    <row r="687">
      <c r="A687" t="s">
        <v>371</v>
      </c>
      <c r="B687" t="s">
        <v>889</v>
      </c>
      <c r="C687" t="s">
        <v>491</v>
      </c>
      <c r="D687" t="s">
        <v>408</v>
      </c>
    </row>
    <row r="688">
      <c r="A688" t="s">
        <v>371</v>
      </c>
      <c r="B688" t="s">
        <v>993</v>
      </c>
      <c r="C688" t="s">
        <v>473</v>
      </c>
      <c r="D688" t="s">
        <v>411</v>
      </c>
    </row>
    <row r="689">
      <c r="A689" t="s">
        <v>371</v>
      </c>
      <c r="B689" t="s">
        <v>826</v>
      </c>
      <c r="C689" t="s">
        <v>534</v>
      </c>
      <c r="D689" t="s">
        <v>408</v>
      </c>
    </row>
    <row r="690">
      <c r="A690" t="s">
        <v>371</v>
      </c>
      <c r="B690" t="s">
        <v>618</v>
      </c>
      <c r="C690" t="s">
        <v>534</v>
      </c>
      <c r="D690" t="s">
        <v>408</v>
      </c>
    </row>
    <row r="691">
      <c r="A691" t="s">
        <v>371</v>
      </c>
      <c r="B691" t="s">
        <v>620</v>
      </c>
      <c r="C691" t="s">
        <v>621</v>
      </c>
      <c r="D691" t="s">
        <v>408</v>
      </c>
    </row>
    <row r="692">
      <c r="A692" t="s">
        <v>371</v>
      </c>
      <c r="B692" t="s">
        <v>758</v>
      </c>
      <c r="C692" t="s">
        <v>487</v>
      </c>
      <c r="D692" t="s">
        <v>408</v>
      </c>
    </row>
    <row r="693">
      <c r="A693" t="s">
        <v>371</v>
      </c>
      <c r="B693" t="s">
        <v>835</v>
      </c>
      <c r="C693" t="s">
        <v>491</v>
      </c>
      <c r="D693" t="s">
        <v>408</v>
      </c>
    </row>
    <row r="694">
      <c r="A694" t="s">
        <v>371</v>
      </c>
      <c r="B694" t="s">
        <v>830</v>
      </c>
      <c r="C694" t="s">
        <v>536</v>
      </c>
      <c r="D694" t="s">
        <v>408</v>
      </c>
    </row>
    <row r="695">
      <c r="A695" t="s">
        <v>371</v>
      </c>
      <c r="B695" t="s">
        <v>900</v>
      </c>
      <c r="C695" t="s">
        <v>489</v>
      </c>
      <c r="D695" t="s">
        <v>408</v>
      </c>
    </row>
    <row r="696">
      <c r="A696" t="s">
        <v>371</v>
      </c>
      <c r="B696" t="s">
        <v>638</v>
      </c>
      <c r="C696" t="s">
        <v>536</v>
      </c>
      <c r="D696" t="s">
        <v>408</v>
      </c>
    </row>
    <row r="697">
      <c r="A697" t="s">
        <v>371</v>
      </c>
      <c r="B697" t="s">
        <v>838</v>
      </c>
      <c r="C697" t="s">
        <v>489</v>
      </c>
      <c r="D697" t="s">
        <v>408</v>
      </c>
    </row>
    <row r="698">
      <c r="A698" t="s">
        <v>371</v>
      </c>
      <c r="B698" t="s">
        <v>840</v>
      </c>
      <c r="C698" t="s">
        <v>489</v>
      </c>
      <c r="D698" t="s">
        <v>408</v>
      </c>
    </row>
    <row r="699">
      <c r="A699" t="s">
        <v>371</v>
      </c>
      <c r="B699" t="s">
        <v>841</v>
      </c>
      <c r="C699" t="s">
        <v>489</v>
      </c>
      <c r="D699" t="s">
        <v>408</v>
      </c>
    </row>
    <row r="700">
      <c r="A700" t="s">
        <v>371</v>
      </c>
      <c r="B700" t="s">
        <v>488</v>
      </c>
      <c r="C700" t="s">
        <v>489</v>
      </c>
      <c r="D700" t="s">
        <v>408</v>
      </c>
    </row>
    <row r="701">
      <c r="A701" t="s">
        <v>371</v>
      </c>
      <c r="B701" t="s">
        <v>855</v>
      </c>
      <c r="C701" t="s">
        <v>489</v>
      </c>
      <c r="D701" t="s">
        <v>408</v>
      </c>
    </row>
    <row r="702">
      <c r="A702" t="s">
        <v>371</v>
      </c>
      <c r="B702" t="s">
        <v>994</v>
      </c>
      <c r="C702" t="s">
        <v>410</v>
      </c>
      <c r="D702" t="s">
        <v>411</v>
      </c>
    </row>
    <row r="703">
      <c r="A703" t="s">
        <v>371</v>
      </c>
      <c r="B703" t="s">
        <v>995</v>
      </c>
      <c r="C703" t="s">
        <v>507</v>
      </c>
      <c r="D703" t="s">
        <v>411</v>
      </c>
    </row>
    <row r="704">
      <c r="A704" t="s">
        <v>373</v>
      </c>
      <c r="B704" t="s">
        <v>518</v>
      </c>
      <c r="C704" t="s">
        <v>507</v>
      </c>
      <c r="D704" t="s">
        <v>408</v>
      </c>
    </row>
    <row r="705">
      <c r="A705" t="s">
        <v>374</v>
      </c>
      <c r="B705" t="s">
        <v>933</v>
      </c>
      <c r="C705" t="s">
        <v>491</v>
      </c>
      <c r="D705" t="s">
        <v>408</v>
      </c>
    </row>
    <row r="706">
      <c r="A706" t="s">
        <v>374</v>
      </c>
      <c r="B706" t="s">
        <v>934</v>
      </c>
      <c r="C706" t="s">
        <v>491</v>
      </c>
      <c r="D706" t="s">
        <v>408</v>
      </c>
    </row>
    <row r="707">
      <c r="A707" t="s">
        <v>374</v>
      </c>
      <c r="B707" t="s">
        <v>941</v>
      </c>
      <c r="C707" t="s">
        <v>491</v>
      </c>
      <c r="D707" t="s">
        <v>408</v>
      </c>
    </row>
    <row r="708">
      <c r="A708" t="s">
        <v>374</v>
      </c>
      <c r="B708" t="s">
        <v>406</v>
      </c>
      <c r="C708" t="s">
        <v>487</v>
      </c>
      <c r="D708" t="s">
        <v>408</v>
      </c>
    </row>
    <row r="709">
      <c r="A709" t="s">
        <v>374</v>
      </c>
      <c r="B709" t="s">
        <v>937</v>
      </c>
      <c r="C709" t="s">
        <v>491</v>
      </c>
      <c r="D709" t="s">
        <v>408</v>
      </c>
    </row>
    <row r="710">
      <c r="A710" t="s">
        <v>375</v>
      </c>
      <c r="B710" t="s">
        <v>996</v>
      </c>
      <c r="C710" t="s">
        <v>410</v>
      </c>
      <c r="D710" t="s">
        <v>408</v>
      </c>
    </row>
    <row r="711">
      <c r="A711" t="s">
        <v>375</v>
      </c>
      <c r="B711" t="s">
        <v>858</v>
      </c>
      <c r="C711" t="s">
        <v>496</v>
      </c>
      <c r="D711" t="s">
        <v>408</v>
      </c>
    </row>
    <row r="712">
      <c r="A712" t="s">
        <v>375</v>
      </c>
      <c r="B712" t="s">
        <v>997</v>
      </c>
      <c r="C712" t="s">
        <v>410</v>
      </c>
      <c r="D712" t="s">
        <v>408</v>
      </c>
    </row>
    <row r="713">
      <c r="A713" t="s">
        <v>375</v>
      </c>
      <c r="B713" t="s">
        <v>998</v>
      </c>
      <c r="C713" t="s">
        <v>410</v>
      </c>
      <c r="D713" t="s">
        <v>408</v>
      </c>
    </row>
    <row r="714">
      <c r="A714" t="s">
        <v>375</v>
      </c>
      <c r="B714" t="s">
        <v>999</v>
      </c>
      <c r="C714" t="s">
        <v>410</v>
      </c>
      <c r="D714" t="s">
        <v>408</v>
      </c>
    </row>
    <row r="715">
      <c r="A715" t="s">
        <v>375</v>
      </c>
      <c r="B715" t="s">
        <v>1000</v>
      </c>
      <c r="C715" t="s">
        <v>410</v>
      </c>
      <c r="D715" t="s">
        <v>408</v>
      </c>
    </row>
    <row r="716">
      <c r="A716" t="s">
        <v>375</v>
      </c>
      <c r="B716" t="s">
        <v>1001</v>
      </c>
      <c r="C716" t="s">
        <v>410</v>
      </c>
      <c r="D716" t="s">
        <v>408</v>
      </c>
    </row>
    <row r="717">
      <c r="A717" t="s">
        <v>375</v>
      </c>
      <c r="B717" t="s">
        <v>1002</v>
      </c>
      <c r="C717" t="s">
        <v>410</v>
      </c>
      <c r="D717" t="s">
        <v>408</v>
      </c>
    </row>
    <row r="718">
      <c r="A718" t="s">
        <v>375</v>
      </c>
      <c r="B718" t="s">
        <v>1003</v>
      </c>
      <c r="C718" t="s">
        <v>410</v>
      </c>
      <c r="D718" t="s">
        <v>408</v>
      </c>
    </row>
    <row r="719">
      <c r="A719" t="s">
        <v>375</v>
      </c>
      <c r="B719" t="s">
        <v>1004</v>
      </c>
      <c r="C719" t="s">
        <v>410</v>
      </c>
      <c r="D719" t="s">
        <v>408</v>
      </c>
    </row>
    <row r="720">
      <c r="A720" t="s">
        <v>375</v>
      </c>
      <c r="B720" t="s">
        <v>1005</v>
      </c>
      <c r="C720" t="s">
        <v>410</v>
      </c>
      <c r="D720" t="s">
        <v>408</v>
      </c>
    </row>
    <row r="721">
      <c r="A721" t="s">
        <v>375</v>
      </c>
      <c r="B721" t="s">
        <v>1006</v>
      </c>
      <c r="C721" t="s">
        <v>410</v>
      </c>
      <c r="D721" t="s">
        <v>408</v>
      </c>
    </row>
    <row r="722">
      <c r="A722" t="s">
        <v>375</v>
      </c>
      <c r="B722" t="s">
        <v>860</v>
      </c>
      <c r="C722" t="s">
        <v>410</v>
      </c>
      <c r="D722" t="s">
        <v>408</v>
      </c>
    </row>
    <row r="723">
      <c r="A723" t="s">
        <v>375</v>
      </c>
      <c r="B723" t="s">
        <v>845</v>
      </c>
      <c r="C723" t="s">
        <v>410</v>
      </c>
      <c r="D723" t="s">
        <v>408</v>
      </c>
    </row>
    <row r="724">
      <c r="A724" t="s">
        <v>375</v>
      </c>
      <c r="B724" t="s">
        <v>846</v>
      </c>
      <c r="C724" t="s">
        <v>410</v>
      </c>
      <c r="D724" t="s">
        <v>408</v>
      </c>
    </row>
    <row r="725">
      <c r="A725" t="s">
        <v>375</v>
      </c>
      <c r="B725" t="s">
        <v>847</v>
      </c>
      <c r="C725" t="s">
        <v>410</v>
      </c>
      <c r="D725" t="s">
        <v>408</v>
      </c>
    </row>
    <row r="726">
      <c r="A726" t="s">
        <v>375</v>
      </c>
      <c r="B726" t="s">
        <v>848</v>
      </c>
      <c r="C726" t="s">
        <v>410</v>
      </c>
      <c r="D726" t="s">
        <v>408</v>
      </c>
    </row>
    <row r="727">
      <c r="A727" t="s">
        <v>375</v>
      </c>
      <c r="B727" t="s">
        <v>1007</v>
      </c>
      <c r="C727" t="s">
        <v>410</v>
      </c>
      <c r="D727" t="s">
        <v>408</v>
      </c>
    </row>
    <row r="728">
      <c r="A728" t="s">
        <v>375</v>
      </c>
      <c r="B728" t="s">
        <v>1008</v>
      </c>
      <c r="C728" t="s">
        <v>410</v>
      </c>
      <c r="D728" t="s">
        <v>408</v>
      </c>
    </row>
    <row r="729">
      <c r="A729" t="s">
        <v>375</v>
      </c>
      <c r="B729" t="s">
        <v>849</v>
      </c>
      <c r="C729" t="s">
        <v>410</v>
      </c>
      <c r="D729" t="s">
        <v>408</v>
      </c>
    </row>
    <row r="730">
      <c r="A730" t="s">
        <v>375</v>
      </c>
      <c r="B730" t="s">
        <v>850</v>
      </c>
      <c r="C730" t="s">
        <v>410</v>
      </c>
      <c r="D730" t="s">
        <v>408</v>
      </c>
    </row>
    <row r="731">
      <c r="A731" t="s">
        <v>375</v>
      </c>
      <c r="B731" t="s">
        <v>851</v>
      </c>
      <c r="C731" t="s">
        <v>410</v>
      </c>
      <c r="D731" t="s">
        <v>408</v>
      </c>
    </row>
    <row r="732">
      <c r="A732" t="s">
        <v>375</v>
      </c>
      <c r="B732" t="s">
        <v>852</v>
      </c>
      <c r="C732" t="s">
        <v>496</v>
      </c>
      <c r="D732" t="s">
        <v>408</v>
      </c>
    </row>
    <row r="733">
      <c r="A733" t="s">
        <v>375</v>
      </c>
      <c r="B733" t="s">
        <v>1009</v>
      </c>
      <c r="C733" t="s">
        <v>410</v>
      </c>
      <c r="D733" t="s">
        <v>408</v>
      </c>
    </row>
    <row r="734">
      <c r="A734" t="s">
        <v>375</v>
      </c>
      <c r="B734" t="s">
        <v>1010</v>
      </c>
      <c r="C734" t="s">
        <v>410</v>
      </c>
      <c r="D734" t="s">
        <v>408</v>
      </c>
    </row>
    <row r="735">
      <c r="A735" t="s">
        <v>375</v>
      </c>
      <c r="B735" t="s">
        <v>1011</v>
      </c>
      <c r="C735" t="s">
        <v>410</v>
      </c>
      <c r="D735" t="s">
        <v>408</v>
      </c>
    </row>
    <row r="736">
      <c r="A736" t="s">
        <v>375</v>
      </c>
      <c r="B736" t="s">
        <v>495</v>
      </c>
      <c r="C736" t="s">
        <v>496</v>
      </c>
      <c r="D736" t="s">
        <v>408</v>
      </c>
    </row>
    <row r="737">
      <c r="A737" t="s">
        <v>375</v>
      </c>
      <c r="B737" t="s">
        <v>497</v>
      </c>
      <c r="C737" t="s">
        <v>410</v>
      </c>
      <c r="D737" t="s">
        <v>408</v>
      </c>
    </row>
    <row r="738">
      <c r="A738" t="s">
        <v>375</v>
      </c>
      <c r="B738" t="s">
        <v>498</v>
      </c>
      <c r="C738" t="s">
        <v>410</v>
      </c>
      <c r="D738" t="s">
        <v>408</v>
      </c>
    </row>
    <row r="739">
      <c r="A739" t="s">
        <v>375</v>
      </c>
      <c r="B739" t="s">
        <v>499</v>
      </c>
      <c r="C739" t="s">
        <v>410</v>
      </c>
      <c r="D739" t="s">
        <v>408</v>
      </c>
    </row>
    <row r="740">
      <c r="A740" t="s">
        <v>375</v>
      </c>
      <c r="B740" t="s">
        <v>500</v>
      </c>
      <c r="C740" t="s">
        <v>410</v>
      </c>
      <c r="D740" t="s">
        <v>408</v>
      </c>
    </row>
    <row r="741">
      <c r="A741" t="s">
        <v>375</v>
      </c>
      <c r="B741" t="s">
        <v>501</v>
      </c>
      <c r="C741" t="s">
        <v>496</v>
      </c>
      <c r="D741" t="s">
        <v>408</v>
      </c>
    </row>
    <row r="742">
      <c r="A742" t="s">
        <v>375</v>
      </c>
      <c r="B742" t="s">
        <v>502</v>
      </c>
      <c r="C742" t="s">
        <v>496</v>
      </c>
      <c r="D742" t="s">
        <v>408</v>
      </c>
    </row>
    <row r="743">
      <c r="A743" t="s">
        <v>375</v>
      </c>
      <c r="B743" t="s">
        <v>503</v>
      </c>
      <c r="C743" t="s">
        <v>410</v>
      </c>
      <c r="D743" t="s">
        <v>408</v>
      </c>
    </row>
    <row r="744">
      <c r="A744" t="s">
        <v>375</v>
      </c>
      <c r="B744" t="s">
        <v>853</v>
      </c>
      <c r="C744" t="s">
        <v>496</v>
      </c>
      <c r="D744" t="s">
        <v>408</v>
      </c>
    </row>
    <row r="745">
      <c r="A745" t="s">
        <v>375</v>
      </c>
      <c r="B745" t="s">
        <v>655</v>
      </c>
      <c r="C745" t="s">
        <v>496</v>
      </c>
      <c r="D745" t="s">
        <v>408</v>
      </c>
    </row>
    <row r="746">
      <c r="A746" t="s">
        <v>375</v>
      </c>
      <c r="B746" t="s">
        <v>854</v>
      </c>
      <c r="C746" t="s">
        <v>487</v>
      </c>
      <c r="D746" t="s">
        <v>408</v>
      </c>
    </row>
    <row r="747">
      <c r="A747" t="s">
        <v>375</v>
      </c>
      <c r="B747" t="s">
        <v>1012</v>
      </c>
      <c r="C747" t="s">
        <v>487</v>
      </c>
      <c r="D747" t="s">
        <v>408</v>
      </c>
    </row>
    <row r="748">
      <c r="A748" t="s">
        <v>375</v>
      </c>
      <c r="B748" t="s">
        <v>569</v>
      </c>
      <c r="C748" t="s">
        <v>410</v>
      </c>
      <c r="D748" t="s">
        <v>408</v>
      </c>
    </row>
    <row r="749">
      <c r="A749" t="s">
        <v>375</v>
      </c>
      <c r="B749" t="s">
        <v>570</v>
      </c>
      <c r="C749" t="s">
        <v>496</v>
      </c>
      <c r="D749" t="s">
        <v>408</v>
      </c>
    </row>
    <row r="750">
      <c r="A750" t="s">
        <v>375</v>
      </c>
      <c r="B750" t="s">
        <v>563</v>
      </c>
      <c r="C750" t="s">
        <v>496</v>
      </c>
      <c r="D750" t="s">
        <v>408</v>
      </c>
    </row>
    <row r="751">
      <c r="A751" t="s">
        <v>375</v>
      </c>
      <c r="B751" t="s">
        <v>562</v>
      </c>
      <c r="C751" t="s">
        <v>410</v>
      </c>
      <c r="D751" t="s">
        <v>408</v>
      </c>
    </row>
    <row r="752">
      <c r="A752" t="s">
        <v>375</v>
      </c>
      <c r="B752" t="s">
        <v>567</v>
      </c>
      <c r="C752" t="s">
        <v>410</v>
      </c>
      <c r="D752" t="s">
        <v>408</v>
      </c>
    </row>
    <row r="753">
      <c r="A753" t="s">
        <v>375</v>
      </c>
      <c r="B753" t="s">
        <v>598</v>
      </c>
      <c r="C753" t="s">
        <v>413</v>
      </c>
      <c r="D753" t="s">
        <v>408</v>
      </c>
    </row>
    <row r="754">
      <c r="A754" t="s">
        <v>375</v>
      </c>
      <c r="B754" t="s">
        <v>877</v>
      </c>
      <c r="C754" t="s">
        <v>413</v>
      </c>
      <c r="D754" t="s">
        <v>408</v>
      </c>
    </row>
    <row r="755">
      <c r="A755" t="s">
        <v>375</v>
      </c>
      <c r="B755" t="s">
        <v>878</v>
      </c>
      <c r="C755" t="s">
        <v>413</v>
      </c>
      <c r="D755" t="s">
        <v>408</v>
      </c>
    </row>
    <row r="756">
      <c r="A756" t="s">
        <v>375</v>
      </c>
      <c r="B756" t="s">
        <v>879</v>
      </c>
      <c r="C756" t="s">
        <v>413</v>
      </c>
      <c r="D756" t="s">
        <v>408</v>
      </c>
    </row>
    <row r="757">
      <c r="A757" t="s">
        <v>375</v>
      </c>
      <c r="B757" t="s">
        <v>880</v>
      </c>
      <c r="C757" t="s">
        <v>413</v>
      </c>
      <c r="D757" t="s">
        <v>408</v>
      </c>
    </row>
    <row r="758">
      <c r="A758" t="s">
        <v>375</v>
      </c>
      <c r="B758" t="s">
        <v>881</v>
      </c>
      <c r="C758" t="s">
        <v>413</v>
      </c>
      <c r="D758" t="s">
        <v>408</v>
      </c>
    </row>
    <row r="759">
      <c r="A759" t="s">
        <v>375</v>
      </c>
      <c r="B759" t="s">
        <v>882</v>
      </c>
      <c r="C759" t="s">
        <v>413</v>
      </c>
      <c r="D759" t="s">
        <v>408</v>
      </c>
    </row>
    <row r="760">
      <c r="A760" t="s">
        <v>375</v>
      </c>
      <c r="B760" t="s">
        <v>414</v>
      </c>
      <c r="C760" t="s">
        <v>413</v>
      </c>
      <c r="D760" t="s">
        <v>408</v>
      </c>
    </row>
    <row r="761">
      <c r="A761" t="s">
        <v>375</v>
      </c>
      <c r="B761" t="s">
        <v>884</v>
      </c>
      <c r="C761" t="s">
        <v>413</v>
      </c>
      <c r="D761" t="s">
        <v>408</v>
      </c>
    </row>
    <row r="762">
      <c r="A762" t="s">
        <v>375</v>
      </c>
      <c r="B762" t="s">
        <v>415</v>
      </c>
      <c r="C762" t="s">
        <v>413</v>
      </c>
      <c r="D762" t="s">
        <v>408</v>
      </c>
    </row>
    <row r="763">
      <c r="A763" t="s">
        <v>375</v>
      </c>
      <c r="B763" t="s">
        <v>1013</v>
      </c>
      <c r="C763" t="s">
        <v>410</v>
      </c>
      <c r="D763" t="s">
        <v>408</v>
      </c>
    </row>
    <row r="764">
      <c r="A764" t="s">
        <v>375</v>
      </c>
      <c r="B764" t="s">
        <v>885</v>
      </c>
      <c r="C764" t="s">
        <v>410</v>
      </c>
      <c r="D764" t="s">
        <v>408</v>
      </c>
    </row>
    <row r="765">
      <c r="A765" t="s">
        <v>375</v>
      </c>
      <c r="B765" t="s">
        <v>1014</v>
      </c>
      <c r="C765" t="s">
        <v>487</v>
      </c>
      <c r="D765" t="s">
        <v>408</v>
      </c>
    </row>
    <row r="766">
      <c r="A766" t="s">
        <v>375</v>
      </c>
      <c r="B766" t="s">
        <v>886</v>
      </c>
      <c r="C766" t="s">
        <v>492</v>
      </c>
      <c r="D766" t="s">
        <v>408</v>
      </c>
    </row>
    <row r="767">
      <c r="A767" t="s">
        <v>375</v>
      </c>
      <c r="B767" t="s">
        <v>887</v>
      </c>
      <c r="C767" t="s">
        <v>492</v>
      </c>
      <c r="D767" t="s">
        <v>408</v>
      </c>
    </row>
    <row r="768">
      <c r="A768" t="s">
        <v>375</v>
      </c>
      <c r="B768" t="s">
        <v>888</v>
      </c>
      <c r="C768" t="s">
        <v>465</v>
      </c>
      <c r="D768" t="s">
        <v>408</v>
      </c>
    </row>
    <row r="769">
      <c r="A769" t="s">
        <v>375</v>
      </c>
      <c r="B769" t="s">
        <v>889</v>
      </c>
      <c r="C769" t="s">
        <v>492</v>
      </c>
      <c r="D769" t="s">
        <v>408</v>
      </c>
    </row>
    <row r="770">
      <c r="A770" t="s">
        <v>375</v>
      </c>
      <c r="B770" t="s">
        <v>608</v>
      </c>
      <c r="C770" t="s">
        <v>492</v>
      </c>
      <c r="D770" t="s">
        <v>408</v>
      </c>
    </row>
    <row r="771">
      <c r="A771" t="s">
        <v>375</v>
      </c>
      <c r="B771" t="s">
        <v>617</v>
      </c>
      <c r="C771" t="s">
        <v>487</v>
      </c>
      <c r="D771" t="s">
        <v>408</v>
      </c>
    </row>
    <row r="772">
      <c r="A772" t="s">
        <v>375</v>
      </c>
      <c r="B772" t="s">
        <v>619</v>
      </c>
      <c r="C772" t="s">
        <v>492</v>
      </c>
      <c r="D772" t="s">
        <v>408</v>
      </c>
    </row>
    <row r="773">
      <c r="A773" t="s">
        <v>375</v>
      </c>
      <c r="B773" t="s">
        <v>622</v>
      </c>
      <c r="C773" t="s">
        <v>623</v>
      </c>
      <c r="D773" t="s">
        <v>408</v>
      </c>
    </row>
    <row r="774">
      <c r="A774" t="s">
        <v>375</v>
      </c>
      <c r="B774" t="s">
        <v>758</v>
      </c>
      <c r="C774" t="s">
        <v>487</v>
      </c>
      <c r="D774" t="s">
        <v>408</v>
      </c>
    </row>
    <row r="775">
      <c r="A775" t="s">
        <v>375</v>
      </c>
      <c r="B775" t="s">
        <v>835</v>
      </c>
      <c r="C775" t="s">
        <v>492</v>
      </c>
      <c r="D775" t="s">
        <v>408</v>
      </c>
    </row>
    <row r="776">
      <c r="A776" t="s">
        <v>375</v>
      </c>
      <c r="B776" t="s">
        <v>624</v>
      </c>
      <c r="C776" t="s">
        <v>492</v>
      </c>
      <c r="D776" t="s">
        <v>408</v>
      </c>
    </row>
    <row r="777">
      <c r="A777" t="s">
        <v>375</v>
      </c>
      <c r="B777" t="s">
        <v>631</v>
      </c>
      <c r="C777" t="s">
        <v>473</v>
      </c>
      <c r="D777" t="s">
        <v>408</v>
      </c>
    </row>
    <row r="778">
      <c r="A778" t="s">
        <v>375</v>
      </c>
      <c r="B778" t="s">
        <v>635</v>
      </c>
      <c r="C778" t="s">
        <v>487</v>
      </c>
      <c r="D778" t="s">
        <v>408</v>
      </c>
    </row>
    <row r="779">
      <c r="A779" t="s">
        <v>375</v>
      </c>
      <c r="B779" t="s">
        <v>464</v>
      </c>
      <c r="C779" t="s">
        <v>465</v>
      </c>
      <c r="D779" t="s">
        <v>408</v>
      </c>
    </row>
    <row r="780">
      <c r="A780" t="s">
        <v>375</v>
      </c>
      <c r="B780" t="s">
        <v>836</v>
      </c>
      <c r="C780" t="s">
        <v>487</v>
      </c>
      <c r="D780" t="s">
        <v>408</v>
      </c>
    </row>
    <row r="781">
      <c r="A781" t="s">
        <v>375</v>
      </c>
      <c r="B781" t="s">
        <v>664</v>
      </c>
      <c r="C781" t="s">
        <v>487</v>
      </c>
      <c r="D781" t="s">
        <v>408</v>
      </c>
    </row>
    <row r="782">
      <c r="A782" t="s">
        <v>375</v>
      </c>
      <c r="B782" t="s">
        <v>837</v>
      </c>
      <c r="C782" t="s">
        <v>492</v>
      </c>
      <c r="D782" t="s">
        <v>408</v>
      </c>
    </row>
    <row r="783">
      <c r="A783" t="s">
        <v>375</v>
      </c>
      <c r="B783" t="s">
        <v>638</v>
      </c>
      <c r="C783" t="s">
        <v>492</v>
      </c>
      <c r="D783" t="s">
        <v>408</v>
      </c>
    </row>
    <row r="784">
      <c r="A784" t="s">
        <v>375</v>
      </c>
      <c r="B784" t="s">
        <v>643</v>
      </c>
      <c r="C784" t="s">
        <v>473</v>
      </c>
      <c r="D784" t="s">
        <v>408</v>
      </c>
    </row>
    <row r="785">
      <c r="A785" t="s">
        <v>375</v>
      </c>
      <c r="B785" t="s">
        <v>644</v>
      </c>
      <c r="C785" t="s">
        <v>473</v>
      </c>
      <c r="D785" t="s">
        <v>408</v>
      </c>
    </row>
    <row r="786">
      <c r="A786" t="s">
        <v>375</v>
      </c>
      <c r="B786" t="s">
        <v>650</v>
      </c>
      <c r="C786" t="s">
        <v>487</v>
      </c>
      <c r="D786" t="s">
        <v>408</v>
      </c>
    </row>
    <row r="787">
      <c r="A787" t="s">
        <v>375</v>
      </c>
      <c r="B787" t="s">
        <v>651</v>
      </c>
      <c r="C787" t="s">
        <v>492</v>
      </c>
      <c r="D787" t="s">
        <v>408</v>
      </c>
    </row>
    <row r="788">
      <c r="A788" t="s">
        <v>375</v>
      </c>
      <c r="B788" t="s">
        <v>579</v>
      </c>
      <c r="C788" t="s">
        <v>473</v>
      </c>
      <c r="D788" t="s">
        <v>408</v>
      </c>
    </row>
    <row r="789">
      <c r="A789" t="s">
        <v>375</v>
      </c>
      <c r="B789" t="s">
        <v>581</v>
      </c>
      <c r="C789" t="s">
        <v>473</v>
      </c>
      <c r="D789" t="s">
        <v>408</v>
      </c>
    </row>
    <row r="790">
      <c r="A790" t="s">
        <v>375</v>
      </c>
      <c r="B790" t="s">
        <v>592</v>
      </c>
      <c r="C790" t="s">
        <v>473</v>
      </c>
      <c r="D790" t="s">
        <v>408</v>
      </c>
    </row>
    <row r="791">
      <c r="A791" t="s">
        <v>375</v>
      </c>
      <c r="B791" t="s">
        <v>594</v>
      </c>
      <c r="C791" t="s">
        <v>487</v>
      </c>
      <c r="D791" t="s">
        <v>408</v>
      </c>
    </row>
    <row r="792">
      <c r="A792" t="s">
        <v>375</v>
      </c>
      <c r="B792" t="s">
        <v>595</v>
      </c>
      <c r="C792" t="s">
        <v>465</v>
      </c>
      <c r="D792" t="s">
        <v>408</v>
      </c>
    </row>
    <row r="793">
      <c r="A793" t="s">
        <v>375</v>
      </c>
      <c r="B793" t="s">
        <v>466</v>
      </c>
      <c r="C793" t="s">
        <v>465</v>
      </c>
      <c r="D793" t="s">
        <v>408</v>
      </c>
    </row>
    <row r="794">
      <c r="A794" t="s">
        <v>375</v>
      </c>
      <c r="B794" t="s">
        <v>467</v>
      </c>
      <c r="C794" t="s">
        <v>465</v>
      </c>
      <c r="D794" t="s">
        <v>408</v>
      </c>
    </row>
    <row r="795">
      <c r="A795" t="s">
        <v>375</v>
      </c>
      <c r="B795" t="s">
        <v>666</v>
      </c>
      <c r="C795" t="s">
        <v>473</v>
      </c>
      <c r="D795" t="s">
        <v>408</v>
      </c>
    </row>
    <row r="796">
      <c r="A796" t="s">
        <v>375</v>
      </c>
      <c r="B796" t="s">
        <v>667</v>
      </c>
      <c r="C796" t="s">
        <v>473</v>
      </c>
      <c r="D796" t="s">
        <v>408</v>
      </c>
    </row>
    <row r="797">
      <c r="A797" t="s">
        <v>375</v>
      </c>
      <c r="B797" t="s">
        <v>668</v>
      </c>
      <c r="C797" t="s">
        <v>473</v>
      </c>
      <c r="D797" t="s">
        <v>408</v>
      </c>
    </row>
    <row r="798">
      <c r="A798" t="s">
        <v>375</v>
      </c>
      <c r="B798" t="s">
        <v>1015</v>
      </c>
      <c r="C798" t="s">
        <v>473</v>
      </c>
      <c r="D798" t="s">
        <v>408</v>
      </c>
    </row>
    <row r="799">
      <c r="A799" t="s">
        <v>375</v>
      </c>
      <c r="B799" t="s">
        <v>468</v>
      </c>
      <c r="C799" t="s">
        <v>469</v>
      </c>
      <c r="D799" t="s">
        <v>408</v>
      </c>
    </row>
    <row r="800">
      <c r="A800" t="s">
        <v>375</v>
      </c>
      <c r="B800" t="s">
        <v>1016</v>
      </c>
      <c r="C800" t="s">
        <v>473</v>
      </c>
      <c r="D800" t="s">
        <v>408</v>
      </c>
    </row>
    <row r="801">
      <c r="A801" t="s">
        <v>375</v>
      </c>
      <c r="B801" t="s">
        <v>843</v>
      </c>
      <c r="C801" t="s">
        <v>487</v>
      </c>
      <c r="D801" t="s">
        <v>408</v>
      </c>
    </row>
    <row r="802">
      <c r="A802" t="s">
        <v>375</v>
      </c>
      <c r="B802" t="s">
        <v>478</v>
      </c>
      <c r="C802" t="s">
        <v>473</v>
      </c>
      <c r="D802" t="s">
        <v>408</v>
      </c>
    </row>
    <row r="803">
      <c r="A803" t="s">
        <v>375</v>
      </c>
      <c r="B803" t="s">
        <v>479</v>
      </c>
      <c r="C803" t="s">
        <v>473</v>
      </c>
      <c r="D803" t="s">
        <v>408</v>
      </c>
    </row>
    <row r="804">
      <c r="A804" t="s">
        <v>375</v>
      </c>
      <c r="B804" t="s">
        <v>486</v>
      </c>
      <c r="C804" t="s">
        <v>487</v>
      </c>
      <c r="D804" t="s">
        <v>408</v>
      </c>
    </row>
    <row r="805">
      <c r="A805" t="s">
        <v>375</v>
      </c>
      <c r="B805" t="s">
        <v>1017</v>
      </c>
      <c r="C805" t="s">
        <v>473</v>
      </c>
      <c r="D805" t="s">
        <v>408</v>
      </c>
    </row>
    <row r="806">
      <c r="A806" t="s">
        <v>375</v>
      </c>
      <c r="B806" t="s">
        <v>1018</v>
      </c>
      <c r="C806" t="s">
        <v>473</v>
      </c>
      <c r="D806" t="s">
        <v>408</v>
      </c>
    </row>
    <row r="807">
      <c r="A807" t="s">
        <v>375</v>
      </c>
      <c r="B807" t="s">
        <v>1019</v>
      </c>
      <c r="C807" t="s">
        <v>473</v>
      </c>
      <c r="D807" t="s">
        <v>408</v>
      </c>
    </row>
    <row r="808">
      <c r="A808" t="s">
        <v>375</v>
      </c>
      <c r="B808" t="s">
        <v>757</v>
      </c>
      <c r="C808" t="s">
        <v>487</v>
      </c>
      <c r="D808" t="s">
        <v>408</v>
      </c>
    </row>
    <row r="809">
      <c r="A809" t="s">
        <v>375</v>
      </c>
      <c r="B809" t="s">
        <v>856</v>
      </c>
      <c r="C809" t="s">
        <v>492</v>
      </c>
      <c r="D809" t="s">
        <v>408</v>
      </c>
    </row>
    <row r="810">
      <c r="A810" t="s">
        <v>375</v>
      </c>
      <c r="B810" t="s">
        <v>490</v>
      </c>
      <c r="C810" t="s">
        <v>492</v>
      </c>
      <c r="D810" t="s">
        <v>408</v>
      </c>
    </row>
    <row r="811">
      <c r="A811" t="s">
        <v>375</v>
      </c>
      <c r="B811" t="s">
        <v>857</v>
      </c>
      <c r="C811" t="s">
        <v>496</v>
      </c>
      <c r="D811" t="s">
        <v>408</v>
      </c>
    </row>
    <row r="812">
      <c r="A812" t="s">
        <v>375</v>
      </c>
      <c r="B812" t="s">
        <v>1020</v>
      </c>
      <c r="C812" t="s">
        <v>410</v>
      </c>
      <c r="D812" t="s">
        <v>408</v>
      </c>
    </row>
    <row r="813">
      <c r="A813" t="s">
        <v>375</v>
      </c>
      <c r="B813" t="s">
        <v>1021</v>
      </c>
      <c r="C813" t="s">
        <v>410</v>
      </c>
      <c r="D813" t="s">
        <v>408</v>
      </c>
    </row>
    <row r="814">
      <c r="A814" t="s">
        <v>375</v>
      </c>
      <c r="B814" t="s">
        <v>1022</v>
      </c>
      <c r="C814" t="s">
        <v>410</v>
      </c>
      <c r="D814" t="s">
        <v>408</v>
      </c>
    </row>
    <row r="815">
      <c r="A815" t="s">
        <v>375</v>
      </c>
      <c r="B815" t="s">
        <v>1023</v>
      </c>
      <c r="C815" t="s">
        <v>410</v>
      </c>
      <c r="D815" t="s">
        <v>408</v>
      </c>
    </row>
    <row r="816">
      <c r="A816" t="s">
        <v>375</v>
      </c>
      <c r="B816" t="s">
        <v>1024</v>
      </c>
      <c r="C816" t="s">
        <v>410</v>
      </c>
      <c r="D816" t="s">
        <v>408</v>
      </c>
    </row>
    <row r="817">
      <c r="A817" t="s">
        <v>375</v>
      </c>
      <c r="B817" t="s">
        <v>599</v>
      </c>
      <c r="C817" t="s">
        <v>413</v>
      </c>
      <c r="D817" t="s">
        <v>408</v>
      </c>
    </row>
    <row r="818">
      <c r="A818" t="s">
        <v>375</v>
      </c>
      <c r="B818" t="s">
        <v>600</v>
      </c>
      <c r="C818" t="s">
        <v>413</v>
      </c>
      <c r="D818" t="s">
        <v>408</v>
      </c>
    </row>
    <row r="819">
      <c r="A819" t="s">
        <v>375</v>
      </c>
      <c r="B819" t="s">
        <v>601</v>
      </c>
      <c r="C819" t="s">
        <v>413</v>
      </c>
      <c r="D819" t="s">
        <v>408</v>
      </c>
    </row>
    <row r="820">
      <c r="A820" t="s">
        <v>375</v>
      </c>
      <c r="B820" t="s">
        <v>883</v>
      </c>
      <c r="C820" t="s">
        <v>413</v>
      </c>
      <c r="D820" t="s">
        <v>408</v>
      </c>
    </row>
    <row r="821">
      <c r="A821" t="s">
        <v>375</v>
      </c>
      <c r="B821" t="s">
        <v>602</v>
      </c>
      <c r="C821" t="s">
        <v>413</v>
      </c>
      <c r="D821" t="s">
        <v>408</v>
      </c>
    </row>
    <row r="822">
      <c r="A822" t="s">
        <v>375</v>
      </c>
      <c r="B822" t="s">
        <v>1025</v>
      </c>
      <c r="C822" t="s">
        <v>410</v>
      </c>
      <c r="D822" t="s">
        <v>408</v>
      </c>
    </row>
    <row r="823">
      <c r="A823" t="s">
        <v>375</v>
      </c>
      <c r="B823" t="s">
        <v>1026</v>
      </c>
      <c r="C823" t="s">
        <v>410</v>
      </c>
      <c r="D823" t="s">
        <v>408</v>
      </c>
    </row>
    <row r="824">
      <c r="A824" t="s">
        <v>375</v>
      </c>
      <c r="B824" t="s">
        <v>1027</v>
      </c>
      <c r="C824" t="s">
        <v>410</v>
      </c>
      <c r="D824" t="s">
        <v>408</v>
      </c>
    </row>
    <row r="825">
      <c r="A825" t="s">
        <v>375</v>
      </c>
      <c r="B825" t="s">
        <v>859</v>
      </c>
      <c r="C825" t="s">
        <v>496</v>
      </c>
      <c r="D825" t="s">
        <v>408</v>
      </c>
    </row>
    <row r="826">
      <c r="A826" t="s">
        <v>375</v>
      </c>
      <c r="B826" t="s">
        <v>1028</v>
      </c>
      <c r="C826" t="s">
        <v>410</v>
      </c>
      <c r="D826" t="s">
        <v>408</v>
      </c>
    </row>
    <row r="827">
      <c r="A827" t="s">
        <v>375</v>
      </c>
      <c r="B827" t="s">
        <v>582</v>
      </c>
      <c r="C827" t="s">
        <v>410</v>
      </c>
      <c r="D827" t="s">
        <v>408</v>
      </c>
    </row>
    <row r="828">
      <c r="A828" t="s">
        <v>375</v>
      </c>
      <c r="B828" t="s">
        <v>583</v>
      </c>
      <c r="C828" t="s">
        <v>410</v>
      </c>
      <c r="D828" t="s">
        <v>408</v>
      </c>
    </row>
    <row r="829">
      <c r="A829" t="s">
        <v>375</v>
      </c>
      <c r="B829" t="s">
        <v>584</v>
      </c>
      <c r="C829" t="s">
        <v>410</v>
      </c>
      <c r="D829" t="s">
        <v>408</v>
      </c>
    </row>
    <row r="830">
      <c r="A830" t="s">
        <v>375</v>
      </c>
      <c r="B830" t="s">
        <v>585</v>
      </c>
      <c r="C830" t="s">
        <v>410</v>
      </c>
      <c r="D830" t="s">
        <v>408</v>
      </c>
    </row>
    <row r="831">
      <c r="A831" t="s">
        <v>375</v>
      </c>
      <c r="B831" t="s">
        <v>586</v>
      </c>
      <c r="C831" t="s">
        <v>410</v>
      </c>
      <c r="D831" t="s">
        <v>408</v>
      </c>
    </row>
    <row r="832">
      <c r="A832" t="s">
        <v>375</v>
      </c>
      <c r="B832" t="s">
        <v>587</v>
      </c>
      <c r="C832" t="s">
        <v>410</v>
      </c>
      <c r="D832" t="s">
        <v>408</v>
      </c>
    </row>
    <row r="833">
      <c r="A833" t="s">
        <v>375</v>
      </c>
      <c r="B833" t="s">
        <v>588</v>
      </c>
      <c r="C833" t="s">
        <v>410</v>
      </c>
      <c r="D833" t="s">
        <v>408</v>
      </c>
    </row>
    <row r="834">
      <c r="A834" t="s">
        <v>375</v>
      </c>
      <c r="B834" t="s">
        <v>589</v>
      </c>
      <c r="C834" t="s">
        <v>410</v>
      </c>
      <c r="D834" t="s">
        <v>408</v>
      </c>
    </row>
    <row r="835">
      <c r="A835" t="s">
        <v>375</v>
      </c>
      <c r="B835" t="s">
        <v>590</v>
      </c>
      <c r="C835" t="s">
        <v>410</v>
      </c>
      <c r="D835" t="s">
        <v>408</v>
      </c>
    </row>
    <row r="836">
      <c r="A836" t="s">
        <v>375</v>
      </c>
      <c r="B836" t="s">
        <v>597</v>
      </c>
      <c r="C836" t="s">
        <v>410</v>
      </c>
      <c r="D836" t="s">
        <v>408</v>
      </c>
    </row>
    <row r="837">
      <c r="A837" t="s">
        <v>375</v>
      </c>
      <c r="B837" t="s">
        <v>869</v>
      </c>
      <c r="C837" t="s">
        <v>413</v>
      </c>
      <c r="D837" t="s">
        <v>408</v>
      </c>
    </row>
    <row r="838">
      <c r="A838" t="s">
        <v>375</v>
      </c>
      <c r="B838" t="s">
        <v>870</v>
      </c>
      <c r="C838" t="s">
        <v>413</v>
      </c>
      <c r="D838" t="s">
        <v>408</v>
      </c>
    </row>
    <row r="839">
      <c r="A839" t="s">
        <v>375</v>
      </c>
      <c r="B839" t="s">
        <v>871</v>
      </c>
      <c r="C839" t="s">
        <v>413</v>
      </c>
      <c r="D839" t="s">
        <v>408</v>
      </c>
    </row>
    <row r="840">
      <c r="A840" t="s">
        <v>375</v>
      </c>
      <c r="B840" t="s">
        <v>872</v>
      </c>
      <c r="C840" t="s">
        <v>413</v>
      </c>
      <c r="D840" t="s">
        <v>408</v>
      </c>
    </row>
    <row r="841">
      <c r="A841" t="s">
        <v>375</v>
      </c>
      <c r="B841" t="s">
        <v>873</v>
      </c>
      <c r="C841" t="s">
        <v>413</v>
      </c>
      <c r="D841" t="s">
        <v>408</v>
      </c>
    </row>
    <row r="842">
      <c r="A842" t="s">
        <v>375</v>
      </c>
      <c r="B842" t="s">
        <v>874</v>
      </c>
      <c r="C842" t="s">
        <v>413</v>
      </c>
      <c r="D842" t="s">
        <v>408</v>
      </c>
    </row>
    <row r="843">
      <c r="A843" t="s">
        <v>375</v>
      </c>
      <c r="B843" t="s">
        <v>875</v>
      </c>
      <c r="C843" t="s">
        <v>413</v>
      </c>
      <c r="D843" t="s">
        <v>408</v>
      </c>
    </row>
    <row r="844">
      <c r="A844" t="s">
        <v>375</v>
      </c>
      <c r="B844" t="s">
        <v>412</v>
      </c>
      <c r="C844" t="s">
        <v>413</v>
      </c>
      <c r="D844" t="s">
        <v>408</v>
      </c>
    </row>
    <row r="845">
      <c r="A845" t="s">
        <v>375</v>
      </c>
      <c r="B845" t="s">
        <v>876</v>
      </c>
      <c r="C845" t="s">
        <v>413</v>
      </c>
      <c r="D845" t="s">
        <v>408</v>
      </c>
    </row>
    <row r="846">
      <c r="A846" t="s">
        <v>378</v>
      </c>
      <c r="B846" t="s">
        <v>1029</v>
      </c>
      <c r="C846" t="s">
        <v>910</v>
      </c>
      <c r="D846" t="s">
        <v>408</v>
      </c>
    </row>
    <row r="847">
      <c r="A847" t="s">
        <v>380</v>
      </c>
      <c r="B847" t="s">
        <v>920</v>
      </c>
      <c r="C847" t="s">
        <v>413</v>
      </c>
      <c r="D847" t="s">
        <v>408</v>
      </c>
    </row>
    <row r="848">
      <c r="A848" t="s">
        <v>380</v>
      </c>
      <c r="B848" t="s">
        <v>921</v>
      </c>
      <c r="C848" t="s">
        <v>413</v>
      </c>
      <c r="D848" t="s">
        <v>408</v>
      </c>
    </row>
    <row r="849">
      <c r="A849" t="s">
        <v>380</v>
      </c>
      <c r="B849" t="s">
        <v>922</v>
      </c>
      <c r="C849" t="s">
        <v>413</v>
      </c>
      <c r="D849" t="s">
        <v>408</v>
      </c>
    </row>
    <row r="850">
      <c r="A850" t="s">
        <v>380</v>
      </c>
      <c r="B850" t="s">
        <v>923</v>
      </c>
      <c r="C850" t="s">
        <v>413</v>
      </c>
      <c r="D850" t="s">
        <v>408</v>
      </c>
    </row>
    <row r="851">
      <c r="A851" t="s">
        <v>380</v>
      </c>
      <c r="B851" t="s">
        <v>924</v>
      </c>
      <c r="C851" t="s">
        <v>413</v>
      </c>
      <c r="D851" t="s">
        <v>408</v>
      </c>
    </row>
    <row r="852">
      <c r="A852" t="s">
        <v>380</v>
      </c>
      <c r="B852" t="s">
        <v>925</v>
      </c>
      <c r="C852" t="s">
        <v>413</v>
      </c>
      <c r="D852" t="s">
        <v>408</v>
      </c>
    </row>
    <row r="853">
      <c r="A853" t="s">
        <v>380</v>
      </c>
      <c r="B853" t="s">
        <v>926</v>
      </c>
      <c r="C853" t="s">
        <v>413</v>
      </c>
      <c r="D853" t="s">
        <v>408</v>
      </c>
    </row>
    <row r="854">
      <c r="A854" t="s">
        <v>380</v>
      </c>
      <c r="B854" t="s">
        <v>927</v>
      </c>
      <c r="C854" t="s">
        <v>413</v>
      </c>
      <c r="D854" t="s">
        <v>408</v>
      </c>
    </row>
    <row r="855">
      <c r="A855" t="s">
        <v>380</v>
      </c>
      <c r="B855" t="s">
        <v>928</v>
      </c>
      <c r="C855" t="s">
        <v>413</v>
      </c>
      <c r="D855" t="s">
        <v>408</v>
      </c>
    </row>
    <row r="856">
      <c r="A856" t="s">
        <v>380</v>
      </c>
      <c r="B856" t="s">
        <v>929</v>
      </c>
      <c r="C856" t="s">
        <v>413</v>
      </c>
      <c r="D856" t="s">
        <v>408</v>
      </c>
    </row>
    <row r="857">
      <c r="A857" t="s">
        <v>380</v>
      </c>
      <c r="B857" t="s">
        <v>930</v>
      </c>
      <c r="C857" t="s">
        <v>413</v>
      </c>
      <c r="D857" t="s">
        <v>408</v>
      </c>
    </row>
    <row r="858">
      <c r="A858" t="s">
        <v>380</v>
      </c>
      <c r="B858" t="s">
        <v>931</v>
      </c>
      <c r="C858" t="s">
        <v>413</v>
      </c>
      <c r="D858" t="s">
        <v>408</v>
      </c>
    </row>
    <row r="859">
      <c r="A859" t="s">
        <v>380</v>
      </c>
      <c r="B859" t="s">
        <v>560</v>
      </c>
      <c r="C859" t="s">
        <v>410</v>
      </c>
      <c r="D859" t="s">
        <v>408</v>
      </c>
    </row>
    <row r="860">
      <c r="A860" t="s">
        <v>380</v>
      </c>
      <c r="B860" t="s">
        <v>932</v>
      </c>
      <c r="C860" t="s">
        <v>487</v>
      </c>
      <c r="D860" t="s">
        <v>408</v>
      </c>
    </row>
    <row r="861">
      <c r="A861" t="s">
        <v>380</v>
      </c>
      <c r="B861" t="s">
        <v>933</v>
      </c>
      <c r="C861" t="s">
        <v>492</v>
      </c>
      <c r="D861" t="s">
        <v>408</v>
      </c>
    </row>
    <row r="862">
      <c r="A862" t="s">
        <v>380</v>
      </c>
      <c r="B862" t="s">
        <v>934</v>
      </c>
      <c r="C862" t="s">
        <v>492</v>
      </c>
      <c r="D862" t="s">
        <v>408</v>
      </c>
    </row>
    <row r="863">
      <c r="A863" t="s">
        <v>380</v>
      </c>
      <c r="B863" t="s">
        <v>935</v>
      </c>
      <c r="C863" t="s">
        <v>492</v>
      </c>
      <c r="D863" t="s">
        <v>408</v>
      </c>
    </row>
    <row r="864">
      <c r="A864" t="s">
        <v>380</v>
      </c>
      <c r="B864" t="s">
        <v>936</v>
      </c>
      <c r="C864" t="s">
        <v>465</v>
      </c>
      <c r="D864" t="s">
        <v>408</v>
      </c>
    </row>
    <row r="865">
      <c r="A865" t="s">
        <v>380</v>
      </c>
      <c r="B865" t="s">
        <v>937</v>
      </c>
      <c r="C865" t="s">
        <v>492</v>
      </c>
      <c r="D865" t="s">
        <v>408</v>
      </c>
    </row>
    <row r="866">
      <c r="A866" t="s">
        <v>380</v>
      </c>
      <c r="B866" t="s">
        <v>938</v>
      </c>
      <c r="C866" t="s">
        <v>492</v>
      </c>
      <c r="D866" t="s">
        <v>408</v>
      </c>
    </row>
    <row r="867">
      <c r="A867" t="s">
        <v>380</v>
      </c>
      <c r="B867" t="s">
        <v>939</v>
      </c>
      <c r="C867" t="s">
        <v>492</v>
      </c>
      <c r="D867" t="s">
        <v>408</v>
      </c>
    </row>
    <row r="868">
      <c r="A868" t="s">
        <v>380</v>
      </c>
      <c r="B868" t="s">
        <v>406</v>
      </c>
      <c r="C868" t="s">
        <v>487</v>
      </c>
      <c r="D868" t="s">
        <v>408</v>
      </c>
    </row>
    <row r="869">
      <c r="A869" t="s">
        <v>380</v>
      </c>
      <c r="B869" t="s">
        <v>940</v>
      </c>
      <c r="C869" t="s">
        <v>492</v>
      </c>
      <c r="D869" t="s">
        <v>408</v>
      </c>
    </row>
    <row r="870">
      <c r="A870" t="s">
        <v>380</v>
      </c>
      <c r="B870" t="s">
        <v>941</v>
      </c>
      <c r="C870" t="s">
        <v>492</v>
      </c>
      <c r="D870" t="s">
        <v>408</v>
      </c>
    </row>
    <row r="871">
      <c r="A871" t="s">
        <v>380</v>
      </c>
      <c r="B871" t="s">
        <v>1030</v>
      </c>
      <c r="C871" t="s">
        <v>492</v>
      </c>
      <c r="D871" t="s">
        <v>408</v>
      </c>
    </row>
    <row r="872">
      <c r="A872" t="s">
        <v>380</v>
      </c>
      <c r="B872" t="s">
        <v>942</v>
      </c>
      <c r="C872" t="s">
        <v>492</v>
      </c>
      <c r="D872" t="s">
        <v>408</v>
      </c>
    </row>
    <row r="873">
      <c r="A873" t="s">
        <v>380</v>
      </c>
      <c r="B873" t="s">
        <v>943</v>
      </c>
      <c r="C873" t="s">
        <v>473</v>
      </c>
      <c r="D873" t="s">
        <v>408</v>
      </c>
    </row>
    <row r="874">
      <c r="A874" t="s">
        <v>380</v>
      </c>
      <c r="B874" t="s">
        <v>1031</v>
      </c>
      <c r="C874" t="s">
        <v>473</v>
      </c>
      <c r="D874" t="s">
        <v>408</v>
      </c>
    </row>
    <row r="875">
      <c r="A875" t="s">
        <v>380</v>
      </c>
      <c r="B875" t="s">
        <v>692</v>
      </c>
      <c r="C875" t="s">
        <v>487</v>
      </c>
      <c r="D875" t="s">
        <v>408</v>
      </c>
    </row>
    <row r="876">
      <c r="A876" t="s">
        <v>380</v>
      </c>
      <c r="B876" t="s">
        <v>944</v>
      </c>
      <c r="C876" t="s">
        <v>492</v>
      </c>
      <c r="D876" t="s">
        <v>408</v>
      </c>
    </row>
    <row r="877">
      <c r="A877" t="s">
        <v>380</v>
      </c>
      <c r="B877" t="s">
        <v>945</v>
      </c>
      <c r="C877" t="s">
        <v>487</v>
      </c>
      <c r="D877" t="s">
        <v>408</v>
      </c>
    </row>
    <row r="878">
      <c r="A878" t="s">
        <v>380</v>
      </c>
      <c r="B878" t="s">
        <v>1032</v>
      </c>
      <c r="C878" t="s">
        <v>492</v>
      </c>
      <c r="D878" t="s">
        <v>408</v>
      </c>
    </row>
    <row r="879">
      <c r="A879" t="s">
        <v>380</v>
      </c>
      <c r="B879" t="s">
        <v>946</v>
      </c>
      <c r="C879" t="s">
        <v>487</v>
      </c>
      <c r="D879" t="s">
        <v>408</v>
      </c>
    </row>
    <row r="880">
      <c r="A880" t="s">
        <v>380</v>
      </c>
      <c r="B880" t="s">
        <v>919</v>
      </c>
      <c r="C880" t="s">
        <v>413</v>
      </c>
      <c r="D880" t="s">
        <v>408</v>
      </c>
    </row>
    <row r="881">
      <c r="A881" t="s">
        <v>381</v>
      </c>
      <c r="B881" t="s">
        <v>969</v>
      </c>
      <c r="C881" t="s">
        <v>413</v>
      </c>
      <c r="D881" t="s">
        <v>408</v>
      </c>
    </row>
    <row r="882">
      <c r="A882" t="s">
        <v>381</v>
      </c>
      <c r="B882" t="s">
        <v>970</v>
      </c>
      <c r="C882" t="s">
        <v>413</v>
      </c>
      <c r="D882" t="s">
        <v>408</v>
      </c>
    </row>
    <row r="883">
      <c r="A883" t="s">
        <v>381</v>
      </c>
      <c r="B883" t="s">
        <v>971</v>
      </c>
      <c r="C883" t="s">
        <v>413</v>
      </c>
      <c r="D883" t="s">
        <v>408</v>
      </c>
    </row>
    <row r="884">
      <c r="A884" t="s">
        <v>381</v>
      </c>
      <c r="B884" t="s">
        <v>972</v>
      </c>
      <c r="C884" t="s">
        <v>410</v>
      </c>
      <c r="D884" t="s">
        <v>408</v>
      </c>
    </row>
    <row r="885">
      <c r="A885" t="s">
        <v>381</v>
      </c>
      <c r="B885" t="s">
        <v>974</v>
      </c>
      <c r="C885" t="s">
        <v>410</v>
      </c>
      <c r="D885" t="s">
        <v>408</v>
      </c>
    </row>
    <row r="886">
      <c r="A886" t="s">
        <v>381</v>
      </c>
      <c r="B886" t="s">
        <v>1033</v>
      </c>
      <c r="C886" t="s">
        <v>410</v>
      </c>
      <c r="D886" t="s">
        <v>408</v>
      </c>
    </row>
    <row r="887">
      <c r="A887" t="s">
        <v>381</v>
      </c>
      <c r="B887" t="s">
        <v>1034</v>
      </c>
      <c r="C887" t="s">
        <v>410</v>
      </c>
      <c r="D887" t="s">
        <v>408</v>
      </c>
    </row>
    <row r="888">
      <c r="A888" t="s">
        <v>381</v>
      </c>
      <c r="B888" t="s">
        <v>973</v>
      </c>
      <c r="C888" t="s">
        <v>496</v>
      </c>
      <c r="D888" t="s">
        <v>408</v>
      </c>
    </row>
    <row r="889">
      <c r="A889" t="s">
        <v>381</v>
      </c>
      <c r="B889" t="s">
        <v>1035</v>
      </c>
      <c r="C889" t="s">
        <v>410</v>
      </c>
      <c r="D889" t="s">
        <v>408</v>
      </c>
    </row>
    <row r="890">
      <c r="A890" t="s">
        <v>381</v>
      </c>
      <c r="B890" t="s">
        <v>1036</v>
      </c>
      <c r="C890" t="s">
        <v>410</v>
      </c>
      <c r="D890" t="s">
        <v>408</v>
      </c>
    </row>
    <row r="891">
      <c r="A891" t="s">
        <v>381</v>
      </c>
      <c r="B891" t="s">
        <v>1037</v>
      </c>
      <c r="C891" t="s">
        <v>410</v>
      </c>
      <c r="D891" t="s">
        <v>408</v>
      </c>
    </row>
    <row r="892">
      <c r="A892" t="s">
        <v>381</v>
      </c>
      <c r="B892" t="s">
        <v>1038</v>
      </c>
      <c r="C892" t="s">
        <v>410</v>
      </c>
      <c r="D892" t="s">
        <v>408</v>
      </c>
    </row>
    <row r="893">
      <c r="A893" t="s">
        <v>381</v>
      </c>
      <c r="B893" t="s">
        <v>1039</v>
      </c>
      <c r="C893" t="s">
        <v>410</v>
      </c>
      <c r="D893" t="s">
        <v>408</v>
      </c>
    </row>
    <row r="894">
      <c r="A894" t="s">
        <v>381</v>
      </c>
      <c r="B894" t="s">
        <v>1040</v>
      </c>
      <c r="C894" t="s">
        <v>410</v>
      </c>
      <c r="D894" t="s">
        <v>408</v>
      </c>
    </row>
    <row r="895">
      <c r="A895" t="s">
        <v>381</v>
      </c>
      <c r="B895" t="s">
        <v>949</v>
      </c>
      <c r="C895" t="s">
        <v>410</v>
      </c>
      <c r="D895" t="s">
        <v>408</v>
      </c>
    </row>
    <row r="896">
      <c r="A896" t="s">
        <v>381</v>
      </c>
      <c r="B896" t="s">
        <v>1041</v>
      </c>
      <c r="C896" t="s">
        <v>410</v>
      </c>
      <c r="D896" t="s">
        <v>408</v>
      </c>
    </row>
    <row r="897">
      <c r="A897" t="s">
        <v>381</v>
      </c>
      <c r="B897" t="s">
        <v>1042</v>
      </c>
      <c r="C897" t="s">
        <v>410</v>
      </c>
      <c r="D897" t="s">
        <v>408</v>
      </c>
    </row>
    <row r="898">
      <c r="A898" t="s">
        <v>381</v>
      </c>
      <c r="B898" t="s">
        <v>1043</v>
      </c>
      <c r="C898" t="s">
        <v>410</v>
      </c>
      <c r="D898" t="s">
        <v>408</v>
      </c>
    </row>
    <row r="899">
      <c r="A899" t="s">
        <v>381</v>
      </c>
      <c r="B899" t="s">
        <v>1044</v>
      </c>
      <c r="C899" t="s">
        <v>410</v>
      </c>
      <c r="D899" t="s">
        <v>408</v>
      </c>
    </row>
    <row r="900">
      <c r="A900" t="s">
        <v>381</v>
      </c>
      <c r="B900" t="s">
        <v>950</v>
      </c>
      <c r="C900" t="s">
        <v>410</v>
      </c>
      <c r="D900" t="s">
        <v>408</v>
      </c>
    </row>
    <row r="901">
      <c r="A901" t="s">
        <v>381</v>
      </c>
      <c r="B901" t="s">
        <v>1045</v>
      </c>
      <c r="C901" t="s">
        <v>410</v>
      </c>
      <c r="D901" t="s">
        <v>408</v>
      </c>
    </row>
    <row r="902">
      <c r="A902" t="s">
        <v>381</v>
      </c>
      <c r="B902" t="s">
        <v>1046</v>
      </c>
      <c r="C902" t="s">
        <v>410</v>
      </c>
      <c r="D902" t="s">
        <v>408</v>
      </c>
    </row>
    <row r="903">
      <c r="A903" t="s">
        <v>381</v>
      </c>
      <c r="B903" t="s">
        <v>1047</v>
      </c>
      <c r="C903" t="s">
        <v>410</v>
      </c>
      <c r="D903" t="s">
        <v>408</v>
      </c>
    </row>
    <row r="904">
      <c r="A904" t="s">
        <v>381</v>
      </c>
      <c r="B904" t="s">
        <v>1048</v>
      </c>
      <c r="C904" t="s">
        <v>410</v>
      </c>
      <c r="D904" t="s">
        <v>408</v>
      </c>
    </row>
    <row r="905">
      <c r="A905" t="s">
        <v>381</v>
      </c>
      <c r="B905" t="s">
        <v>1049</v>
      </c>
      <c r="C905" t="s">
        <v>410</v>
      </c>
      <c r="D905" t="s">
        <v>408</v>
      </c>
    </row>
    <row r="906">
      <c r="A906" t="s">
        <v>381</v>
      </c>
      <c r="B906" t="s">
        <v>1050</v>
      </c>
      <c r="C906" t="s">
        <v>410</v>
      </c>
      <c r="D906" t="s">
        <v>408</v>
      </c>
    </row>
    <row r="907">
      <c r="A907" t="s">
        <v>381</v>
      </c>
      <c r="B907" t="s">
        <v>1051</v>
      </c>
      <c r="C907" t="s">
        <v>410</v>
      </c>
      <c r="D907" t="s">
        <v>408</v>
      </c>
    </row>
    <row r="908">
      <c r="A908" t="s">
        <v>381</v>
      </c>
      <c r="B908" t="s">
        <v>1052</v>
      </c>
      <c r="C908" t="s">
        <v>410</v>
      </c>
      <c r="D908" t="s">
        <v>408</v>
      </c>
    </row>
    <row r="909">
      <c r="A909" t="s">
        <v>381</v>
      </c>
      <c r="B909" t="s">
        <v>1053</v>
      </c>
      <c r="C909" t="s">
        <v>410</v>
      </c>
      <c r="D909" t="s">
        <v>408</v>
      </c>
    </row>
    <row r="910">
      <c r="A910" t="s">
        <v>381</v>
      </c>
      <c r="B910" t="s">
        <v>1054</v>
      </c>
      <c r="C910" t="s">
        <v>410</v>
      </c>
      <c r="D910" t="s">
        <v>408</v>
      </c>
    </row>
    <row r="911">
      <c r="A911" t="s">
        <v>381</v>
      </c>
      <c r="B911" t="s">
        <v>1055</v>
      </c>
      <c r="C911" t="s">
        <v>410</v>
      </c>
      <c r="D911" t="s">
        <v>408</v>
      </c>
    </row>
    <row r="912">
      <c r="A912" t="s">
        <v>381</v>
      </c>
      <c r="B912" t="s">
        <v>1056</v>
      </c>
      <c r="C912" t="s">
        <v>410</v>
      </c>
      <c r="D912" t="s">
        <v>408</v>
      </c>
    </row>
    <row r="913">
      <c r="A913" t="s">
        <v>381</v>
      </c>
      <c r="B913" t="s">
        <v>1057</v>
      </c>
      <c r="C913" t="s">
        <v>410</v>
      </c>
      <c r="D913" t="s">
        <v>408</v>
      </c>
    </row>
    <row r="914">
      <c r="A914" t="s">
        <v>381</v>
      </c>
      <c r="B914" t="s">
        <v>1058</v>
      </c>
      <c r="C914" t="s">
        <v>410</v>
      </c>
      <c r="D914" t="s">
        <v>408</v>
      </c>
    </row>
    <row r="915">
      <c r="A915" t="s">
        <v>381</v>
      </c>
      <c r="B915" t="s">
        <v>1059</v>
      </c>
      <c r="C915" t="s">
        <v>410</v>
      </c>
      <c r="D915" t="s">
        <v>408</v>
      </c>
    </row>
    <row r="916">
      <c r="A916" t="s">
        <v>381</v>
      </c>
      <c r="B916" t="s">
        <v>1060</v>
      </c>
      <c r="C916" t="s">
        <v>410</v>
      </c>
      <c r="D916" t="s">
        <v>408</v>
      </c>
    </row>
    <row r="917">
      <c r="A917" t="s">
        <v>381</v>
      </c>
      <c r="B917" t="s">
        <v>1061</v>
      </c>
      <c r="C917" t="s">
        <v>410</v>
      </c>
      <c r="D917" t="s">
        <v>408</v>
      </c>
    </row>
    <row r="918">
      <c r="A918" t="s">
        <v>381</v>
      </c>
      <c r="B918" t="s">
        <v>1062</v>
      </c>
      <c r="C918" t="s">
        <v>410</v>
      </c>
      <c r="D918" t="s">
        <v>408</v>
      </c>
    </row>
    <row r="919">
      <c r="A919" t="s">
        <v>381</v>
      </c>
      <c r="B919" t="s">
        <v>1063</v>
      </c>
      <c r="C919" t="s">
        <v>410</v>
      </c>
      <c r="D919" t="s">
        <v>408</v>
      </c>
    </row>
    <row r="920">
      <c r="A920" t="s">
        <v>381</v>
      </c>
      <c r="B920" t="s">
        <v>1064</v>
      </c>
      <c r="C920" t="s">
        <v>410</v>
      </c>
      <c r="D920" t="s">
        <v>408</v>
      </c>
    </row>
    <row r="921">
      <c r="A921" t="s">
        <v>381</v>
      </c>
      <c r="B921" t="s">
        <v>1065</v>
      </c>
      <c r="C921" t="s">
        <v>410</v>
      </c>
      <c r="D921" t="s">
        <v>408</v>
      </c>
    </row>
    <row r="922">
      <c r="A922" t="s">
        <v>381</v>
      </c>
      <c r="B922" t="s">
        <v>1066</v>
      </c>
      <c r="C922" t="s">
        <v>410</v>
      </c>
      <c r="D922" t="s">
        <v>408</v>
      </c>
    </row>
    <row r="923">
      <c r="A923" t="s">
        <v>381</v>
      </c>
      <c r="B923" t="s">
        <v>1067</v>
      </c>
      <c r="C923" t="s">
        <v>410</v>
      </c>
      <c r="D923" t="s">
        <v>408</v>
      </c>
    </row>
    <row r="924">
      <c r="A924" t="s">
        <v>381</v>
      </c>
      <c r="B924" t="s">
        <v>1068</v>
      </c>
      <c r="C924" t="s">
        <v>410</v>
      </c>
      <c r="D924" t="s">
        <v>408</v>
      </c>
    </row>
    <row r="925">
      <c r="A925" t="s">
        <v>381</v>
      </c>
      <c r="B925" t="s">
        <v>1069</v>
      </c>
      <c r="C925" t="s">
        <v>410</v>
      </c>
      <c r="D925" t="s">
        <v>408</v>
      </c>
    </row>
    <row r="926">
      <c r="A926" t="s">
        <v>381</v>
      </c>
      <c r="B926" t="s">
        <v>951</v>
      </c>
      <c r="C926" t="s">
        <v>410</v>
      </c>
      <c r="D926" t="s">
        <v>408</v>
      </c>
    </row>
    <row r="927">
      <c r="A927" t="s">
        <v>381</v>
      </c>
      <c r="B927" t="s">
        <v>1070</v>
      </c>
      <c r="C927" t="s">
        <v>410</v>
      </c>
      <c r="D927" t="s">
        <v>408</v>
      </c>
    </row>
    <row r="928">
      <c r="A928" t="s">
        <v>381</v>
      </c>
      <c r="B928" t="s">
        <v>1071</v>
      </c>
      <c r="C928" t="s">
        <v>410</v>
      </c>
      <c r="D928" t="s">
        <v>408</v>
      </c>
    </row>
    <row r="929">
      <c r="A929" t="s">
        <v>381</v>
      </c>
      <c r="B929" t="s">
        <v>1072</v>
      </c>
      <c r="C929" t="s">
        <v>410</v>
      </c>
      <c r="D929" t="s">
        <v>408</v>
      </c>
    </row>
    <row r="930">
      <c r="A930" t="s">
        <v>381</v>
      </c>
      <c r="B930" t="s">
        <v>1073</v>
      </c>
      <c r="C930" t="s">
        <v>410</v>
      </c>
      <c r="D930" t="s">
        <v>408</v>
      </c>
    </row>
    <row r="931">
      <c r="A931" t="s">
        <v>381</v>
      </c>
      <c r="B931" t="s">
        <v>1074</v>
      </c>
      <c r="C931" t="s">
        <v>410</v>
      </c>
      <c r="D931" t="s">
        <v>408</v>
      </c>
    </row>
    <row r="932">
      <c r="A932" t="s">
        <v>381</v>
      </c>
      <c r="B932" t="s">
        <v>1075</v>
      </c>
      <c r="C932" t="s">
        <v>410</v>
      </c>
      <c r="D932" t="s">
        <v>408</v>
      </c>
    </row>
    <row r="933">
      <c r="A933" t="s">
        <v>381</v>
      </c>
      <c r="B933" t="s">
        <v>1076</v>
      </c>
      <c r="C933" t="s">
        <v>410</v>
      </c>
      <c r="D933" t="s">
        <v>408</v>
      </c>
    </row>
    <row r="934">
      <c r="A934" t="s">
        <v>381</v>
      </c>
      <c r="B934" t="s">
        <v>1077</v>
      </c>
      <c r="C934" t="s">
        <v>410</v>
      </c>
      <c r="D934" t="s">
        <v>408</v>
      </c>
    </row>
    <row r="935">
      <c r="A935" t="s">
        <v>381</v>
      </c>
      <c r="B935" t="s">
        <v>1078</v>
      </c>
      <c r="C935" t="s">
        <v>410</v>
      </c>
      <c r="D935" t="s">
        <v>408</v>
      </c>
    </row>
    <row r="936">
      <c r="A936" t="s">
        <v>381</v>
      </c>
      <c r="B936" t="s">
        <v>952</v>
      </c>
      <c r="C936" t="s">
        <v>410</v>
      </c>
      <c r="D936" t="s">
        <v>408</v>
      </c>
    </row>
    <row r="937">
      <c r="A937" t="s">
        <v>381</v>
      </c>
      <c r="B937" t="s">
        <v>1079</v>
      </c>
      <c r="C937" t="s">
        <v>410</v>
      </c>
      <c r="D937" t="s">
        <v>408</v>
      </c>
    </row>
    <row r="938">
      <c r="A938" t="s">
        <v>381</v>
      </c>
      <c r="B938" t="s">
        <v>1080</v>
      </c>
      <c r="C938" t="s">
        <v>410</v>
      </c>
      <c r="D938" t="s">
        <v>408</v>
      </c>
    </row>
    <row r="939">
      <c r="A939" t="s">
        <v>381</v>
      </c>
      <c r="B939" t="s">
        <v>1081</v>
      </c>
      <c r="C939" t="s">
        <v>410</v>
      </c>
      <c r="D939" t="s">
        <v>408</v>
      </c>
    </row>
    <row r="940">
      <c r="A940" t="s">
        <v>381</v>
      </c>
      <c r="B940" t="s">
        <v>1082</v>
      </c>
      <c r="C940" t="s">
        <v>410</v>
      </c>
      <c r="D940" t="s">
        <v>408</v>
      </c>
    </row>
    <row r="941">
      <c r="A941" t="s">
        <v>381</v>
      </c>
      <c r="B941" t="s">
        <v>1083</v>
      </c>
      <c r="C941" t="s">
        <v>410</v>
      </c>
      <c r="D941" t="s">
        <v>408</v>
      </c>
    </row>
    <row r="942">
      <c r="A942" t="s">
        <v>381</v>
      </c>
      <c r="B942" t="s">
        <v>1084</v>
      </c>
      <c r="C942" t="s">
        <v>410</v>
      </c>
      <c r="D942" t="s">
        <v>408</v>
      </c>
    </row>
    <row r="943">
      <c r="A943" t="s">
        <v>381</v>
      </c>
      <c r="B943" t="s">
        <v>1085</v>
      </c>
      <c r="C943" t="s">
        <v>410</v>
      </c>
      <c r="D943" t="s">
        <v>408</v>
      </c>
    </row>
    <row r="944">
      <c r="A944" t="s">
        <v>381</v>
      </c>
      <c r="B944" t="s">
        <v>1086</v>
      </c>
      <c r="C944" t="s">
        <v>410</v>
      </c>
      <c r="D944" t="s">
        <v>408</v>
      </c>
    </row>
    <row r="945">
      <c r="A945" t="s">
        <v>381</v>
      </c>
      <c r="B945" t="s">
        <v>1087</v>
      </c>
      <c r="C945" t="s">
        <v>410</v>
      </c>
      <c r="D945" t="s">
        <v>408</v>
      </c>
    </row>
    <row r="946">
      <c r="A946" t="s">
        <v>381</v>
      </c>
      <c r="B946" t="s">
        <v>1088</v>
      </c>
      <c r="C946" t="s">
        <v>410</v>
      </c>
      <c r="D946" t="s">
        <v>408</v>
      </c>
    </row>
    <row r="947">
      <c r="A947" t="s">
        <v>381</v>
      </c>
      <c r="B947" t="s">
        <v>1089</v>
      </c>
      <c r="C947" t="s">
        <v>410</v>
      </c>
      <c r="D947" t="s">
        <v>408</v>
      </c>
    </row>
    <row r="948">
      <c r="A948" t="s">
        <v>381</v>
      </c>
      <c r="B948" t="s">
        <v>1090</v>
      </c>
      <c r="C948" t="s">
        <v>410</v>
      </c>
      <c r="D948" t="s">
        <v>408</v>
      </c>
    </row>
    <row r="949">
      <c r="A949" t="s">
        <v>381</v>
      </c>
      <c r="B949" t="s">
        <v>1091</v>
      </c>
      <c r="C949" t="s">
        <v>410</v>
      </c>
      <c r="D949" t="s">
        <v>408</v>
      </c>
    </row>
    <row r="950">
      <c r="A950" t="s">
        <v>381</v>
      </c>
      <c r="B950" t="s">
        <v>1092</v>
      </c>
      <c r="C950" t="s">
        <v>410</v>
      </c>
      <c r="D950" t="s">
        <v>408</v>
      </c>
    </row>
    <row r="951">
      <c r="A951" t="s">
        <v>381</v>
      </c>
      <c r="B951" t="s">
        <v>1093</v>
      </c>
      <c r="C951" t="s">
        <v>410</v>
      </c>
      <c r="D951" t="s">
        <v>408</v>
      </c>
    </row>
    <row r="952">
      <c r="A952" t="s">
        <v>381</v>
      </c>
      <c r="B952" t="s">
        <v>1094</v>
      </c>
      <c r="C952" t="s">
        <v>410</v>
      </c>
      <c r="D952" t="s">
        <v>408</v>
      </c>
    </row>
    <row r="953">
      <c r="A953" t="s">
        <v>381</v>
      </c>
      <c r="B953" t="s">
        <v>1095</v>
      </c>
      <c r="C953" t="s">
        <v>410</v>
      </c>
      <c r="D953" t="s">
        <v>408</v>
      </c>
    </row>
    <row r="954">
      <c r="A954" t="s">
        <v>381</v>
      </c>
      <c r="B954" t="s">
        <v>1096</v>
      </c>
      <c r="C954" t="s">
        <v>410</v>
      </c>
      <c r="D954" t="s">
        <v>408</v>
      </c>
    </row>
    <row r="955">
      <c r="A955" t="s">
        <v>381</v>
      </c>
      <c r="B955" t="s">
        <v>1097</v>
      </c>
      <c r="C955" t="s">
        <v>410</v>
      </c>
      <c r="D955" t="s">
        <v>408</v>
      </c>
    </row>
    <row r="956">
      <c r="A956" t="s">
        <v>381</v>
      </c>
      <c r="B956" t="s">
        <v>953</v>
      </c>
      <c r="C956" t="s">
        <v>410</v>
      </c>
      <c r="D956" t="s">
        <v>408</v>
      </c>
    </row>
    <row r="957">
      <c r="A957" t="s">
        <v>381</v>
      </c>
      <c r="B957" t="s">
        <v>1098</v>
      </c>
      <c r="C957" t="s">
        <v>410</v>
      </c>
      <c r="D957" t="s">
        <v>408</v>
      </c>
    </row>
    <row r="958">
      <c r="A958" t="s">
        <v>381</v>
      </c>
      <c r="B958" t="s">
        <v>1099</v>
      </c>
      <c r="C958" t="s">
        <v>410</v>
      </c>
      <c r="D958" t="s">
        <v>408</v>
      </c>
    </row>
    <row r="959">
      <c r="A959" t="s">
        <v>381</v>
      </c>
      <c r="B959" t="s">
        <v>954</v>
      </c>
      <c r="C959" t="s">
        <v>410</v>
      </c>
      <c r="D959" t="s">
        <v>408</v>
      </c>
    </row>
    <row r="960">
      <c r="A960" t="s">
        <v>381</v>
      </c>
      <c r="B960" t="s">
        <v>1100</v>
      </c>
      <c r="C960" t="s">
        <v>410</v>
      </c>
      <c r="D960" t="s">
        <v>408</v>
      </c>
    </row>
    <row r="961">
      <c r="A961" t="s">
        <v>381</v>
      </c>
      <c r="B961" t="s">
        <v>1101</v>
      </c>
      <c r="C961" t="s">
        <v>410</v>
      </c>
      <c r="D961" t="s">
        <v>408</v>
      </c>
    </row>
    <row r="962">
      <c r="A962" t="s">
        <v>381</v>
      </c>
      <c r="B962" t="s">
        <v>1102</v>
      </c>
      <c r="C962" t="s">
        <v>410</v>
      </c>
      <c r="D962" t="s">
        <v>408</v>
      </c>
    </row>
    <row r="963">
      <c r="A963" t="s">
        <v>381</v>
      </c>
      <c r="B963" t="s">
        <v>1103</v>
      </c>
      <c r="C963" t="s">
        <v>410</v>
      </c>
      <c r="D963" t="s">
        <v>408</v>
      </c>
    </row>
    <row r="964">
      <c r="A964" t="s">
        <v>381</v>
      </c>
      <c r="B964" t="s">
        <v>1104</v>
      </c>
      <c r="C964" t="s">
        <v>410</v>
      </c>
      <c r="D964" t="s">
        <v>408</v>
      </c>
    </row>
    <row r="965">
      <c r="A965" t="s">
        <v>381</v>
      </c>
      <c r="B965" t="s">
        <v>1105</v>
      </c>
      <c r="C965" t="s">
        <v>410</v>
      </c>
      <c r="D965" t="s">
        <v>408</v>
      </c>
    </row>
    <row r="966">
      <c r="A966" t="s">
        <v>381</v>
      </c>
      <c r="B966" t="s">
        <v>1106</v>
      </c>
      <c r="C966" t="s">
        <v>410</v>
      </c>
      <c r="D966" t="s">
        <v>408</v>
      </c>
    </row>
    <row r="967">
      <c r="A967" t="s">
        <v>381</v>
      </c>
      <c r="B967" t="s">
        <v>1107</v>
      </c>
      <c r="C967" t="s">
        <v>410</v>
      </c>
      <c r="D967" t="s">
        <v>408</v>
      </c>
    </row>
    <row r="968">
      <c r="A968" t="s">
        <v>381</v>
      </c>
      <c r="B968" t="s">
        <v>1108</v>
      </c>
      <c r="C968" t="s">
        <v>410</v>
      </c>
      <c r="D968" t="s">
        <v>408</v>
      </c>
    </row>
    <row r="969">
      <c r="A969" t="s">
        <v>381</v>
      </c>
      <c r="B969" t="s">
        <v>1109</v>
      </c>
      <c r="C969" t="s">
        <v>410</v>
      </c>
      <c r="D969" t="s">
        <v>408</v>
      </c>
    </row>
    <row r="970">
      <c r="A970" t="s">
        <v>381</v>
      </c>
      <c r="B970" t="s">
        <v>1110</v>
      </c>
      <c r="C970" t="s">
        <v>410</v>
      </c>
      <c r="D970" t="s">
        <v>408</v>
      </c>
    </row>
    <row r="971">
      <c r="A971" t="s">
        <v>381</v>
      </c>
      <c r="B971" t="s">
        <v>1111</v>
      </c>
      <c r="C971" t="s">
        <v>410</v>
      </c>
      <c r="D971" t="s">
        <v>408</v>
      </c>
    </row>
    <row r="972">
      <c r="A972" t="s">
        <v>381</v>
      </c>
      <c r="B972" t="s">
        <v>1112</v>
      </c>
      <c r="C972" t="s">
        <v>410</v>
      </c>
      <c r="D972" t="s">
        <v>408</v>
      </c>
    </row>
    <row r="973">
      <c r="A973" t="s">
        <v>381</v>
      </c>
      <c r="B973" t="s">
        <v>1113</v>
      </c>
      <c r="C973" t="s">
        <v>410</v>
      </c>
      <c r="D973" t="s">
        <v>408</v>
      </c>
    </row>
    <row r="974">
      <c r="A974" t="s">
        <v>381</v>
      </c>
      <c r="B974" t="s">
        <v>1114</v>
      </c>
      <c r="C974" t="s">
        <v>410</v>
      </c>
      <c r="D974" t="s">
        <v>408</v>
      </c>
    </row>
    <row r="975">
      <c r="A975" t="s">
        <v>381</v>
      </c>
      <c r="B975" t="s">
        <v>1115</v>
      </c>
      <c r="C975" t="s">
        <v>410</v>
      </c>
      <c r="D975" t="s">
        <v>408</v>
      </c>
    </row>
    <row r="976">
      <c r="A976" t="s">
        <v>381</v>
      </c>
      <c r="B976" t="s">
        <v>955</v>
      </c>
      <c r="C976" t="s">
        <v>410</v>
      </c>
      <c r="D976" t="s">
        <v>408</v>
      </c>
    </row>
    <row r="977">
      <c r="A977" t="s">
        <v>381</v>
      </c>
      <c r="B977" t="s">
        <v>1116</v>
      </c>
      <c r="C977" t="s">
        <v>410</v>
      </c>
      <c r="D977" t="s">
        <v>408</v>
      </c>
    </row>
    <row r="978">
      <c r="A978" t="s">
        <v>381</v>
      </c>
      <c r="B978" t="s">
        <v>1117</v>
      </c>
      <c r="C978" t="s">
        <v>410</v>
      </c>
      <c r="D978" t="s">
        <v>408</v>
      </c>
    </row>
    <row r="979">
      <c r="A979" t="s">
        <v>381</v>
      </c>
      <c r="B979" t="s">
        <v>1118</v>
      </c>
      <c r="C979" t="s">
        <v>410</v>
      </c>
      <c r="D979" t="s">
        <v>408</v>
      </c>
    </row>
    <row r="980">
      <c r="A980" t="s">
        <v>381</v>
      </c>
      <c r="B980" t="s">
        <v>1119</v>
      </c>
      <c r="C980" t="s">
        <v>410</v>
      </c>
      <c r="D980" t="s">
        <v>408</v>
      </c>
    </row>
    <row r="981">
      <c r="A981" t="s">
        <v>381</v>
      </c>
      <c r="B981" t="s">
        <v>1120</v>
      </c>
      <c r="C981" t="s">
        <v>410</v>
      </c>
      <c r="D981" t="s">
        <v>408</v>
      </c>
    </row>
    <row r="982">
      <c r="A982" t="s">
        <v>381</v>
      </c>
      <c r="B982" t="s">
        <v>1121</v>
      </c>
      <c r="C982" t="s">
        <v>410</v>
      </c>
      <c r="D982" t="s">
        <v>408</v>
      </c>
    </row>
    <row r="983">
      <c r="A983" t="s">
        <v>381</v>
      </c>
      <c r="B983" t="s">
        <v>1122</v>
      </c>
      <c r="C983" t="s">
        <v>410</v>
      </c>
      <c r="D983" t="s">
        <v>408</v>
      </c>
    </row>
    <row r="984">
      <c r="A984" t="s">
        <v>381</v>
      </c>
      <c r="B984" t="s">
        <v>1123</v>
      </c>
      <c r="C984" t="s">
        <v>410</v>
      </c>
      <c r="D984" t="s">
        <v>408</v>
      </c>
    </row>
    <row r="985">
      <c r="A985" t="s">
        <v>381</v>
      </c>
      <c r="B985" t="s">
        <v>1124</v>
      </c>
      <c r="C985" t="s">
        <v>410</v>
      </c>
      <c r="D985" t="s">
        <v>408</v>
      </c>
    </row>
    <row r="986">
      <c r="A986" t="s">
        <v>381</v>
      </c>
      <c r="B986" t="s">
        <v>1125</v>
      </c>
      <c r="C986" t="s">
        <v>410</v>
      </c>
      <c r="D986" t="s">
        <v>408</v>
      </c>
    </row>
    <row r="987">
      <c r="A987" t="s">
        <v>381</v>
      </c>
      <c r="B987" t="s">
        <v>1126</v>
      </c>
      <c r="C987" t="s">
        <v>410</v>
      </c>
      <c r="D987" t="s">
        <v>408</v>
      </c>
    </row>
    <row r="988">
      <c r="A988" t="s">
        <v>381</v>
      </c>
      <c r="B988" t="s">
        <v>1127</v>
      </c>
      <c r="C988" t="s">
        <v>410</v>
      </c>
      <c r="D988" t="s">
        <v>408</v>
      </c>
    </row>
    <row r="989">
      <c r="A989" t="s">
        <v>381</v>
      </c>
      <c r="B989" t="s">
        <v>1128</v>
      </c>
      <c r="C989" t="s">
        <v>410</v>
      </c>
      <c r="D989" t="s">
        <v>408</v>
      </c>
    </row>
    <row r="990">
      <c r="A990" t="s">
        <v>381</v>
      </c>
      <c r="B990" t="s">
        <v>1129</v>
      </c>
      <c r="C990" t="s">
        <v>410</v>
      </c>
      <c r="D990" t="s">
        <v>408</v>
      </c>
    </row>
    <row r="991">
      <c r="A991" t="s">
        <v>381</v>
      </c>
      <c r="B991" t="s">
        <v>1130</v>
      </c>
      <c r="C991" t="s">
        <v>410</v>
      </c>
      <c r="D991" t="s">
        <v>408</v>
      </c>
    </row>
    <row r="992">
      <c r="A992" t="s">
        <v>381</v>
      </c>
      <c r="B992" t="s">
        <v>1131</v>
      </c>
      <c r="C992" t="s">
        <v>410</v>
      </c>
      <c r="D992" t="s">
        <v>408</v>
      </c>
    </row>
    <row r="993">
      <c r="A993" t="s">
        <v>381</v>
      </c>
      <c r="B993" t="s">
        <v>1132</v>
      </c>
      <c r="C993" t="s">
        <v>410</v>
      </c>
      <c r="D993" t="s">
        <v>408</v>
      </c>
    </row>
    <row r="994">
      <c r="A994" t="s">
        <v>381</v>
      </c>
      <c r="B994" t="s">
        <v>1133</v>
      </c>
      <c r="C994" t="s">
        <v>410</v>
      </c>
      <c r="D994" t="s">
        <v>408</v>
      </c>
    </row>
    <row r="995">
      <c r="A995" t="s">
        <v>381</v>
      </c>
      <c r="B995" t="s">
        <v>1134</v>
      </c>
      <c r="C995" t="s">
        <v>410</v>
      </c>
      <c r="D995" t="s">
        <v>408</v>
      </c>
    </row>
    <row r="996">
      <c r="A996" t="s">
        <v>381</v>
      </c>
      <c r="B996" t="s">
        <v>1135</v>
      </c>
      <c r="C996" t="s">
        <v>410</v>
      </c>
      <c r="D996" t="s">
        <v>408</v>
      </c>
    </row>
    <row r="997">
      <c r="A997" t="s">
        <v>381</v>
      </c>
      <c r="B997" t="s">
        <v>1136</v>
      </c>
      <c r="C997" t="s">
        <v>410</v>
      </c>
      <c r="D997" t="s">
        <v>408</v>
      </c>
    </row>
    <row r="998">
      <c r="A998" t="s">
        <v>381</v>
      </c>
      <c r="B998" t="s">
        <v>956</v>
      </c>
      <c r="C998" t="s">
        <v>410</v>
      </c>
      <c r="D998" t="s">
        <v>408</v>
      </c>
    </row>
    <row r="999">
      <c r="A999" t="s">
        <v>381</v>
      </c>
      <c r="B999" t="s">
        <v>1137</v>
      </c>
      <c r="C999" t="s">
        <v>410</v>
      </c>
      <c r="D999" t="s">
        <v>408</v>
      </c>
    </row>
    <row r="1000">
      <c r="A1000" t="s">
        <v>381</v>
      </c>
      <c r="B1000" t="s">
        <v>1138</v>
      </c>
      <c r="C1000" t="s">
        <v>410</v>
      </c>
      <c r="D1000" t="s">
        <v>408</v>
      </c>
    </row>
    <row r="1001">
      <c r="A1001" t="s">
        <v>381</v>
      </c>
      <c r="B1001" t="s">
        <v>1139</v>
      </c>
      <c r="C1001" t="s">
        <v>410</v>
      </c>
      <c r="D1001" t="s">
        <v>408</v>
      </c>
    </row>
    <row r="1002">
      <c r="A1002" t="s">
        <v>381</v>
      </c>
      <c r="B1002" t="s">
        <v>1140</v>
      </c>
      <c r="C1002" t="s">
        <v>410</v>
      </c>
      <c r="D1002" t="s">
        <v>408</v>
      </c>
    </row>
    <row r="1003">
      <c r="A1003" t="s">
        <v>381</v>
      </c>
      <c r="B1003" t="s">
        <v>957</v>
      </c>
      <c r="C1003" t="s">
        <v>410</v>
      </c>
      <c r="D1003" t="s">
        <v>408</v>
      </c>
    </row>
    <row r="1004">
      <c r="A1004" t="s">
        <v>381</v>
      </c>
      <c r="B1004" t="s">
        <v>1141</v>
      </c>
      <c r="C1004" t="s">
        <v>410</v>
      </c>
      <c r="D1004" t="s">
        <v>408</v>
      </c>
    </row>
    <row r="1005">
      <c r="A1005" t="s">
        <v>381</v>
      </c>
      <c r="B1005" t="s">
        <v>1142</v>
      </c>
      <c r="C1005" t="s">
        <v>410</v>
      </c>
      <c r="D1005" t="s">
        <v>408</v>
      </c>
    </row>
    <row r="1006">
      <c r="A1006" t="s">
        <v>381</v>
      </c>
      <c r="B1006" t="s">
        <v>1143</v>
      </c>
      <c r="C1006" t="s">
        <v>410</v>
      </c>
      <c r="D1006" t="s">
        <v>408</v>
      </c>
    </row>
    <row r="1007">
      <c r="A1007" t="s">
        <v>381</v>
      </c>
      <c r="B1007" t="s">
        <v>1144</v>
      </c>
      <c r="C1007" t="s">
        <v>410</v>
      </c>
      <c r="D1007" t="s">
        <v>408</v>
      </c>
    </row>
    <row r="1008">
      <c r="A1008" t="s">
        <v>381</v>
      </c>
      <c r="B1008" t="s">
        <v>1145</v>
      </c>
      <c r="C1008" t="s">
        <v>410</v>
      </c>
      <c r="D1008" t="s">
        <v>408</v>
      </c>
    </row>
    <row r="1009">
      <c r="A1009" t="s">
        <v>381</v>
      </c>
      <c r="B1009" t="s">
        <v>1146</v>
      </c>
      <c r="C1009" t="s">
        <v>410</v>
      </c>
      <c r="D1009" t="s">
        <v>408</v>
      </c>
    </row>
    <row r="1010">
      <c r="A1010" t="s">
        <v>381</v>
      </c>
      <c r="B1010" t="s">
        <v>1147</v>
      </c>
      <c r="C1010" t="s">
        <v>410</v>
      </c>
      <c r="D1010" t="s">
        <v>408</v>
      </c>
    </row>
    <row r="1011">
      <c r="A1011" t="s">
        <v>381</v>
      </c>
      <c r="B1011" t="s">
        <v>1148</v>
      </c>
      <c r="C1011" t="s">
        <v>410</v>
      </c>
      <c r="D1011" t="s">
        <v>408</v>
      </c>
    </row>
    <row r="1012">
      <c r="A1012" t="s">
        <v>381</v>
      </c>
      <c r="B1012" t="s">
        <v>1149</v>
      </c>
      <c r="C1012" t="s">
        <v>410</v>
      </c>
      <c r="D1012" t="s">
        <v>408</v>
      </c>
    </row>
    <row r="1013">
      <c r="A1013" t="s">
        <v>381</v>
      </c>
      <c r="B1013" t="s">
        <v>1150</v>
      </c>
      <c r="C1013" t="s">
        <v>410</v>
      </c>
      <c r="D1013" t="s">
        <v>408</v>
      </c>
    </row>
    <row r="1014">
      <c r="A1014" t="s">
        <v>381</v>
      </c>
      <c r="B1014" t="s">
        <v>1151</v>
      </c>
      <c r="C1014" t="s">
        <v>410</v>
      </c>
      <c r="D1014" t="s">
        <v>408</v>
      </c>
    </row>
    <row r="1015">
      <c r="A1015" t="s">
        <v>381</v>
      </c>
      <c r="B1015" t="s">
        <v>1152</v>
      </c>
      <c r="C1015" t="s">
        <v>410</v>
      </c>
      <c r="D1015" t="s">
        <v>408</v>
      </c>
    </row>
    <row r="1016">
      <c r="A1016" t="s">
        <v>381</v>
      </c>
      <c r="B1016" t="s">
        <v>1153</v>
      </c>
      <c r="C1016" t="s">
        <v>410</v>
      </c>
      <c r="D1016" t="s">
        <v>408</v>
      </c>
    </row>
    <row r="1017">
      <c r="A1017" t="s">
        <v>381</v>
      </c>
      <c r="B1017" t="s">
        <v>1154</v>
      </c>
      <c r="C1017" t="s">
        <v>410</v>
      </c>
      <c r="D1017" t="s">
        <v>408</v>
      </c>
    </row>
    <row r="1018">
      <c r="A1018" t="s">
        <v>381</v>
      </c>
      <c r="B1018" t="s">
        <v>1155</v>
      </c>
      <c r="C1018" t="s">
        <v>410</v>
      </c>
      <c r="D1018" t="s">
        <v>408</v>
      </c>
    </row>
    <row r="1019">
      <c r="A1019" t="s">
        <v>381</v>
      </c>
      <c r="B1019" t="s">
        <v>1156</v>
      </c>
      <c r="C1019" t="s">
        <v>410</v>
      </c>
      <c r="D1019" t="s">
        <v>408</v>
      </c>
    </row>
    <row r="1020">
      <c r="A1020" t="s">
        <v>381</v>
      </c>
      <c r="B1020" t="s">
        <v>1157</v>
      </c>
      <c r="C1020" t="s">
        <v>410</v>
      </c>
      <c r="D1020" t="s">
        <v>408</v>
      </c>
    </row>
    <row r="1021">
      <c r="A1021" t="s">
        <v>381</v>
      </c>
      <c r="B1021" t="s">
        <v>1158</v>
      </c>
      <c r="C1021" t="s">
        <v>410</v>
      </c>
      <c r="D1021" t="s">
        <v>408</v>
      </c>
    </row>
    <row r="1022">
      <c r="A1022" t="s">
        <v>381</v>
      </c>
      <c r="B1022" t="s">
        <v>1159</v>
      </c>
      <c r="C1022" t="s">
        <v>410</v>
      </c>
      <c r="D1022" t="s">
        <v>408</v>
      </c>
    </row>
    <row r="1023">
      <c r="A1023" t="s">
        <v>381</v>
      </c>
      <c r="B1023" t="s">
        <v>1160</v>
      </c>
      <c r="C1023" t="s">
        <v>410</v>
      </c>
      <c r="D1023" t="s">
        <v>408</v>
      </c>
    </row>
    <row r="1024">
      <c r="A1024" t="s">
        <v>381</v>
      </c>
      <c r="B1024" t="s">
        <v>1161</v>
      </c>
      <c r="C1024" t="s">
        <v>410</v>
      </c>
      <c r="D1024" t="s">
        <v>408</v>
      </c>
    </row>
    <row r="1025">
      <c r="A1025" t="s">
        <v>381</v>
      </c>
      <c r="B1025" t="s">
        <v>1162</v>
      </c>
      <c r="C1025" t="s">
        <v>410</v>
      </c>
      <c r="D1025" t="s">
        <v>408</v>
      </c>
    </row>
    <row r="1026">
      <c r="A1026" t="s">
        <v>381</v>
      </c>
      <c r="B1026" t="s">
        <v>1163</v>
      </c>
      <c r="C1026" t="s">
        <v>410</v>
      </c>
      <c r="D1026" t="s">
        <v>408</v>
      </c>
    </row>
    <row r="1027">
      <c r="A1027" t="s">
        <v>381</v>
      </c>
      <c r="B1027" t="s">
        <v>1164</v>
      </c>
      <c r="C1027" t="s">
        <v>410</v>
      </c>
      <c r="D1027" t="s">
        <v>408</v>
      </c>
    </row>
    <row r="1028">
      <c r="A1028" t="s">
        <v>381</v>
      </c>
      <c r="B1028" t="s">
        <v>1165</v>
      </c>
      <c r="C1028" t="s">
        <v>410</v>
      </c>
      <c r="D1028" t="s">
        <v>408</v>
      </c>
    </row>
    <row r="1029">
      <c r="A1029" t="s">
        <v>381</v>
      </c>
      <c r="B1029" t="s">
        <v>1166</v>
      </c>
      <c r="C1029" t="s">
        <v>410</v>
      </c>
      <c r="D1029" t="s">
        <v>408</v>
      </c>
    </row>
    <row r="1030">
      <c r="A1030" t="s">
        <v>381</v>
      </c>
      <c r="B1030" t="s">
        <v>1167</v>
      </c>
      <c r="C1030" t="s">
        <v>410</v>
      </c>
      <c r="D1030" t="s">
        <v>408</v>
      </c>
    </row>
    <row r="1031">
      <c r="A1031" t="s">
        <v>381</v>
      </c>
      <c r="B1031" t="s">
        <v>1168</v>
      </c>
      <c r="C1031" t="s">
        <v>410</v>
      </c>
      <c r="D1031" t="s">
        <v>408</v>
      </c>
    </row>
    <row r="1032">
      <c r="A1032" t="s">
        <v>381</v>
      </c>
      <c r="B1032" t="s">
        <v>1169</v>
      </c>
      <c r="C1032" t="s">
        <v>410</v>
      </c>
      <c r="D1032" t="s">
        <v>408</v>
      </c>
    </row>
    <row r="1033">
      <c r="A1033" t="s">
        <v>381</v>
      </c>
      <c r="B1033" t="s">
        <v>1170</v>
      </c>
      <c r="C1033" t="s">
        <v>410</v>
      </c>
      <c r="D1033" t="s">
        <v>408</v>
      </c>
    </row>
    <row r="1034">
      <c r="A1034" t="s">
        <v>381</v>
      </c>
      <c r="B1034" t="s">
        <v>1171</v>
      </c>
      <c r="C1034" t="s">
        <v>410</v>
      </c>
      <c r="D1034" t="s">
        <v>408</v>
      </c>
    </row>
    <row r="1035">
      <c r="A1035" t="s">
        <v>381</v>
      </c>
      <c r="B1035" t="s">
        <v>1172</v>
      </c>
      <c r="C1035" t="s">
        <v>410</v>
      </c>
      <c r="D1035" t="s">
        <v>408</v>
      </c>
    </row>
    <row r="1036">
      <c r="A1036" t="s">
        <v>381</v>
      </c>
      <c r="B1036" t="s">
        <v>1173</v>
      </c>
      <c r="C1036" t="s">
        <v>410</v>
      </c>
      <c r="D1036" t="s">
        <v>408</v>
      </c>
    </row>
    <row r="1037">
      <c r="A1037" t="s">
        <v>381</v>
      </c>
      <c r="B1037" t="s">
        <v>1174</v>
      </c>
      <c r="C1037" t="s">
        <v>410</v>
      </c>
      <c r="D1037" t="s">
        <v>408</v>
      </c>
    </row>
    <row r="1038">
      <c r="A1038" t="s">
        <v>381</v>
      </c>
      <c r="B1038" t="s">
        <v>1175</v>
      </c>
      <c r="C1038" t="s">
        <v>410</v>
      </c>
      <c r="D1038" t="s">
        <v>408</v>
      </c>
    </row>
    <row r="1039">
      <c r="A1039" t="s">
        <v>381</v>
      </c>
      <c r="B1039" t="s">
        <v>1176</v>
      </c>
      <c r="C1039" t="s">
        <v>410</v>
      </c>
      <c r="D1039" t="s">
        <v>408</v>
      </c>
    </row>
    <row r="1040">
      <c r="A1040" t="s">
        <v>381</v>
      </c>
      <c r="B1040" t="s">
        <v>1177</v>
      </c>
      <c r="C1040" t="s">
        <v>410</v>
      </c>
      <c r="D1040" t="s">
        <v>408</v>
      </c>
    </row>
    <row r="1041">
      <c r="A1041" t="s">
        <v>381</v>
      </c>
      <c r="B1041" t="s">
        <v>1178</v>
      </c>
      <c r="C1041" t="s">
        <v>410</v>
      </c>
      <c r="D1041" t="s">
        <v>408</v>
      </c>
    </row>
    <row r="1042">
      <c r="A1042" t="s">
        <v>381</v>
      </c>
      <c r="B1042" t="s">
        <v>1179</v>
      </c>
      <c r="C1042" t="s">
        <v>410</v>
      </c>
      <c r="D1042" t="s">
        <v>408</v>
      </c>
    </row>
    <row r="1043">
      <c r="A1043" t="s">
        <v>381</v>
      </c>
      <c r="B1043" t="s">
        <v>1180</v>
      </c>
      <c r="C1043" t="s">
        <v>410</v>
      </c>
      <c r="D1043" t="s">
        <v>408</v>
      </c>
    </row>
    <row r="1044">
      <c r="A1044" t="s">
        <v>381</v>
      </c>
      <c r="B1044" t="s">
        <v>1181</v>
      </c>
      <c r="C1044" t="s">
        <v>410</v>
      </c>
      <c r="D1044" t="s">
        <v>408</v>
      </c>
    </row>
    <row r="1045">
      <c r="A1045" t="s">
        <v>381</v>
      </c>
      <c r="B1045" t="s">
        <v>1182</v>
      </c>
      <c r="C1045" t="s">
        <v>410</v>
      </c>
      <c r="D1045" t="s">
        <v>408</v>
      </c>
    </row>
    <row r="1046">
      <c r="A1046" t="s">
        <v>381</v>
      </c>
      <c r="B1046" t="s">
        <v>958</v>
      </c>
      <c r="C1046" t="s">
        <v>410</v>
      </c>
      <c r="D1046" t="s">
        <v>408</v>
      </c>
    </row>
    <row r="1047">
      <c r="A1047" t="s">
        <v>381</v>
      </c>
      <c r="B1047" t="s">
        <v>959</v>
      </c>
      <c r="C1047" t="s">
        <v>410</v>
      </c>
      <c r="D1047" t="s">
        <v>408</v>
      </c>
    </row>
    <row r="1048">
      <c r="A1048" t="s">
        <v>381</v>
      </c>
      <c r="B1048" t="s">
        <v>1183</v>
      </c>
      <c r="C1048" t="s">
        <v>410</v>
      </c>
      <c r="D1048" t="s">
        <v>408</v>
      </c>
    </row>
    <row r="1049">
      <c r="A1049" t="s">
        <v>381</v>
      </c>
      <c r="B1049" t="s">
        <v>1184</v>
      </c>
      <c r="C1049" t="s">
        <v>410</v>
      </c>
      <c r="D1049" t="s">
        <v>408</v>
      </c>
    </row>
    <row r="1050">
      <c r="A1050" t="s">
        <v>381</v>
      </c>
      <c r="B1050" t="s">
        <v>1185</v>
      </c>
      <c r="C1050" t="s">
        <v>410</v>
      </c>
      <c r="D1050" t="s">
        <v>408</v>
      </c>
    </row>
    <row r="1051">
      <c r="A1051" t="s">
        <v>381</v>
      </c>
      <c r="B1051" t="s">
        <v>960</v>
      </c>
      <c r="C1051" t="s">
        <v>410</v>
      </c>
      <c r="D1051" t="s">
        <v>408</v>
      </c>
    </row>
    <row r="1052">
      <c r="A1052" t="s">
        <v>381</v>
      </c>
      <c r="B1052" t="s">
        <v>1186</v>
      </c>
      <c r="C1052" t="s">
        <v>410</v>
      </c>
      <c r="D1052" t="s">
        <v>408</v>
      </c>
    </row>
    <row r="1053">
      <c r="A1053" t="s">
        <v>381</v>
      </c>
      <c r="B1053" t="s">
        <v>1187</v>
      </c>
      <c r="C1053" t="s">
        <v>410</v>
      </c>
      <c r="D1053" t="s">
        <v>408</v>
      </c>
    </row>
    <row r="1054">
      <c r="A1054" t="s">
        <v>381</v>
      </c>
      <c r="B1054" t="s">
        <v>1188</v>
      </c>
      <c r="C1054" t="s">
        <v>410</v>
      </c>
      <c r="D1054" t="s">
        <v>408</v>
      </c>
    </row>
    <row r="1055">
      <c r="A1055" t="s">
        <v>381</v>
      </c>
      <c r="B1055" t="s">
        <v>1189</v>
      </c>
      <c r="C1055" t="s">
        <v>410</v>
      </c>
      <c r="D1055" t="s">
        <v>408</v>
      </c>
    </row>
    <row r="1056">
      <c r="A1056" t="s">
        <v>381</v>
      </c>
      <c r="B1056" t="s">
        <v>1190</v>
      </c>
      <c r="C1056" t="s">
        <v>410</v>
      </c>
      <c r="D1056" t="s">
        <v>408</v>
      </c>
    </row>
    <row r="1057">
      <c r="A1057" t="s">
        <v>381</v>
      </c>
      <c r="B1057" t="s">
        <v>1191</v>
      </c>
      <c r="C1057" t="s">
        <v>410</v>
      </c>
      <c r="D1057" t="s">
        <v>408</v>
      </c>
    </row>
    <row r="1058">
      <c r="A1058" t="s">
        <v>381</v>
      </c>
      <c r="B1058" t="s">
        <v>1192</v>
      </c>
      <c r="C1058" t="s">
        <v>410</v>
      </c>
      <c r="D1058" t="s">
        <v>408</v>
      </c>
    </row>
    <row r="1059">
      <c r="A1059" t="s">
        <v>381</v>
      </c>
      <c r="B1059" t="s">
        <v>961</v>
      </c>
      <c r="C1059" t="s">
        <v>410</v>
      </c>
      <c r="D1059" t="s">
        <v>408</v>
      </c>
    </row>
    <row r="1060">
      <c r="A1060" t="s">
        <v>381</v>
      </c>
      <c r="B1060" t="s">
        <v>1193</v>
      </c>
      <c r="C1060" t="s">
        <v>410</v>
      </c>
      <c r="D1060" t="s">
        <v>408</v>
      </c>
    </row>
    <row r="1061">
      <c r="A1061" t="s">
        <v>381</v>
      </c>
      <c r="B1061" t="s">
        <v>1194</v>
      </c>
      <c r="C1061" t="s">
        <v>410</v>
      </c>
      <c r="D1061" t="s">
        <v>408</v>
      </c>
    </row>
    <row r="1062">
      <c r="A1062" t="s">
        <v>381</v>
      </c>
      <c r="B1062" t="s">
        <v>1195</v>
      </c>
      <c r="C1062" t="s">
        <v>410</v>
      </c>
      <c r="D1062" t="s">
        <v>408</v>
      </c>
    </row>
    <row r="1063">
      <c r="A1063" t="s">
        <v>381</v>
      </c>
      <c r="B1063" t="s">
        <v>1196</v>
      </c>
      <c r="C1063" t="s">
        <v>410</v>
      </c>
      <c r="D1063" t="s">
        <v>408</v>
      </c>
    </row>
    <row r="1064">
      <c r="A1064" t="s">
        <v>381</v>
      </c>
      <c r="B1064" t="s">
        <v>1197</v>
      </c>
      <c r="C1064" t="s">
        <v>410</v>
      </c>
      <c r="D1064" t="s">
        <v>408</v>
      </c>
    </row>
    <row r="1065">
      <c r="A1065" t="s">
        <v>381</v>
      </c>
      <c r="B1065" t="s">
        <v>1198</v>
      </c>
      <c r="C1065" t="s">
        <v>410</v>
      </c>
      <c r="D1065" t="s">
        <v>408</v>
      </c>
    </row>
    <row r="1066">
      <c r="A1066" t="s">
        <v>381</v>
      </c>
      <c r="B1066" t="s">
        <v>962</v>
      </c>
      <c r="C1066" t="s">
        <v>410</v>
      </c>
      <c r="D1066" t="s">
        <v>408</v>
      </c>
    </row>
    <row r="1067">
      <c r="A1067" t="s">
        <v>381</v>
      </c>
      <c r="B1067" t="s">
        <v>1199</v>
      </c>
      <c r="C1067" t="s">
        <v>410</v>
      </c>
      <c r="D1067" t="s">
        <v>408</v>
      </c>
    </row>
    <row r="1068">
      <c r="A1068" t="s">
        <v>381</v>
      </c>
      <c r="B1068" t="s">
        <v>1200</v>
      </c>
      <c r="C1068" t="s">
        <v>410</v>
      </c>
      <c r="D1068" t="s">
        <v>408</v>
      </c>
    </row>
    <row r="1069">
      <c r="A1069" t="s">
        <v>381</v>
      </c>
      <c r="B1069" t="s">
        <v>1201</v>
      </c>
      <c r="C1069" t="s">
        <v>410</v>
      </c>
      <c r="D1069" t="s">
        <v>408</v>
      </c>
    </row>
    <row r="1070">
      <c r="A1070" t="s">
        <v>381</v>
      </c>
      <c r="B1070" t="s">
        <v>963</v>
      </c>
      <c r="C1070" t="s">
        <v>410</v>
      </c>
      <c r="D1070" t="s">
        <v>408</v>
      </c>
    </row>
    <row r="1071">
      <c r="A1071" t="s">
        <v>381</v>
      </c>
      <c r="B1071" t="s">
        <v>1202</v>
      </c>
      <c r="C1071" t="s">
        <v>410</v>
      </c>
      <c r="D1071" t="s">
        <v>408</v>
      </c>
    </row>
    <row r="1072">
      <c r="A1072" t="s">
        <v>381</v>
      </c>
      <c r="B1072" t="s">
        <v>1203</v>
      </c>
      <c r="C1072" t="s">
        <v>410</v>
      </c>
      <c r="D1072" t="s">
        <v>408</v>
      </c>
    </row>
    <row r="1073">
      <c r="A1073" t="s">
        <v>381</v>
      </c>
      <c r="B1073" t="s">
        <v>964</v>
      </c>
      <c r="C1073" t="s">
        <v>410</v>
      </c>
      <c r="D1073" t="s">
        <v>408</v>
      </c>
    </row>
    <row r="1074">
      <c r="A1074" t="s">
        <v>381</v>
      </c>
      <c r="B1074" t="s">
        <v>1204</v>
      </c>
      <c r="C1074" t="s">
        <v>410</v>
      </c>
      <c r="D1074" t="s">
        <v>408</v>
      </c>
    </row>
    <row r="1075">
      <c r="A1075" t="s">
        <v>381</v>
      </c>
      <c r="B1075" t="s">
        <v>1205</v>
      </c>
      <c r="C1075" t="s">
        <v>410</v>
      </c>
      <c r="D1075" t="s">
        <v>408</v>
      </c>
    </row>
    <row r="1076">
      <c r="A1076" t="s">
        <v>381</v>
      </c>
      <c r="B1076" t="s">
        <v>1206</v>
      </c>
      <c r="C1076" t="s">
        <v>410</v>
      </c>
      <c r="D1076" t="s">
        <v>408</v>
      </c>
    </row>
    <row r="1077">
      <c r="A1077" t="s">
        <v>381</v>
      </c>
      <c r="B1077" t="s">
        <v>965</v>
      </c>
      <c r="C1077" t="s">
        <v>410</v>
      </c>
      <c r="D1077" t="s">
        <v>408</v>
      </c>
    </row>
    <row r="1078">
      <c r="A1078" t="s">
        <v>381</v>
      </c>
      <c r="B1078" t="s">
        <v>1207</v>
      </c>
      <c r="C1078" t="s">
        <v>410</v>
      </c>
      <c r="D1078" t="s">
        <v>408</v>
      </c>
    </row>
    <row r="1079">
      <c r="A1079" t="s">
        <v>381</v>
      </c>
      <c r="B1079" t="s">
        <v>1208</v>
      </c>
      <c r="C1079" t="s">
        <v>410</v>
      </c>
      <c r="D1079" t="s">
        <v>408</v>
      </c>
    </row>
    <row r="1080">
      <c r="A1080" t="s">
        <v>381</v>
      </c>
      <c r="B1080" t="s">
        <v>1209</v>
      </c>
      <c r="C1080" t="s">
        <v>410</v>
      </c>
      <c r="D1080" t="s">
        <v>408</v>
      </c>
    </row>
    <row r="1081">
      <c r="A1081" t="s">
        <v>381</v>
      </c>
      <c r="B1081" t="s">
        <v>1210</v>
      </c>
      <c r="C1081" t="s">
        <v>410</v>
      </c>
      <c r="D1081" t="s">
        <v>408</v>
      </c>
    </row>
    <row r="1082">
      <c r="A1082" t="s">
        <v>381</v>
      </c>
      <c r="B1082" t="s">
        <v>1211</v>
      </c>
      <c r="C1082" t="s">
        <v>410</v>
      </c>
      <c r="D1082" t="s">
        <v>408</v>
      </c>
    </row>
    <row r="1083">
      <c r="A1083" t="s">
        <v>381</v>
      </c>
      <c r="B1083" t="s">
        <v>1212</v>
      </c>
      <c r="C1083" t="s">
        <v>410</v>
      </c>
      <c r="D1083" t="s">
        <v>408</v>
      </c>
    </row>
    <row r="1084">
      <c r="A1084" t="s">
        <v>381</v>
      </c>
      <c r="B1084" t="s">
        <v>966</v>
      </c>
      <c r="C1084" t="s">
        <v>465</v>
      </c>
      <c r="D1084" t="s">
        <v>408</v>
      </c>
    </row>
    <row r="1085">
      <c r="A1085" t="s">
        <v>381</v>
      </c>
      <c r="B1085" t="s">
        <v>967</v>
      </c>
      <c r="C1085" t="s">
        <v>487</v>
      </c>
      <c r="D1085" t="s">
        <v>408</v>
      </c>
    </row>
    <row r="1086">
      <c r="A1086" t="s">
        <v>381</v>
      </c>
      <c r="B1086" t="s">
        <v>968</v>
      </c>
      <c r="C1086" t="s">
        <v>473</v>
      </c>
      <c r="D1086" t="s">
        <v>408</v>
      </c>
    </row>
    <row r="1087">
      <c r="A1087" t="s">
        <v>382</v>
      </c>
      <c r="B1087" t="s">
        <v>511</v>
      </c>
      <c r="C1087" t="s">
        <v>410</v>
      </c>
      <c r="D1087" t="s">
        <v>408</v>
      </c>
    </row>
    <row r="1088">
      <c r="A1088" t="s">
        <v>382</v>
      </c>
      <c r="B1088" t="s">
        <v>558</v>
      </c>
      <c r="C1088" t="s">
        <v>413</v>
      </c>
      <c r="D1088" t="s">
        <v>408</v>
      </c>
    </row>
    <row r="1089">
      <c r="A1089" t="s">
        <v>382</v>
      </c>
      <c r="B1089" t="s">
        <v>513</v>
      </c>
      <c r="C1089" t="s">
        <v>413</v>
      </c>
      <c r="D1089" t="s">
        <v>408</v>
      </c>
    </row>
    <row r="1090">
      <c r="A1090" t="s">
        <v>382</v>
      </c>
      <c r="B1090" t="s">
        <v>514</v>
      </c>
      <c r="C1090" t="s">
        <v>413</v>
      </c>
      <c r="D1090" t="s">
        <v>408</v>
      </c>
    </row>
    <row r="1091">
      <c r="A1091" t="s">
        <v>382</v>
      </c>
      <c r="B1091" t="s">
        <v>519</v>
      </c>
      <c r="C1091" t="s">
        <v>492</v>
      </c>
      <c r="D1091" t="s">
        <v>408</v>
      </c>
    </row>
    <row r="1092">
      <c r="A1092" t="s">
        <v>382</v>
      </c>
      <c r="B1092" t="s">
        <v>532</v>
      </c>
      <c r="C1092" t="s">
        <v>487</v>
      </c>
      <c r="D1092" t="s">
        <v>408</v>
      </c>
    </row>
    <row r="1093">
      <c r="A1093" t="s">
        <v>382</v>
      </c>
      <c r="B1093" t="s">
        <v>535</v>
      </c>
      <c r="C1093" t="s">
        <v>492</v>
      </c>
      <c r="D1093" t="s">
        <v>408</v>
      </c>
    </row>
    <row r="1094">
      <c r="A1094" t="s">
        <v>382</v>
      </c>
      <c r="B1094" t="s">
        <v>541</v>
      </c>
      <c r="C1094" t="s">
        <v>473</v>
      </c>
      <c r="D1094" t="s">
        <v>408</v>
      </c>
    </row>
    <row r="1095">
      <c r="A1095" t="s">
        <v>382</v>
      </c>
      <c r="B1095" t="s">
        <v>548</v>
      </c>
      <c r="C1095" t="s">
        <v>473</v>
      </c>
      <c r="D1095" t="s">
        <v>408</v>
      </c>
    </row>
    <row r="1096">
      <c r="A1096" t="s">
        <v>382</v>
      </c>
      <c r="B1096" t="s">
        <v>552</v>
      </c>
      <c r="C1096" t="s">
        <v>487</v>
      </c>
      <c r="D1096" t="s">
        <v>408</v>
      </c>
    </row>
    <row r="1097">
      <c r="A1097" t="s">
        <v>382</v>
      </c>
      <c r="B1097" t="s">
        <v>553</v>
      </c>
      <c r="C1097" t="s">
        <v>465</v>
      </c>
      <c r="D1097" t="s">
        <v>408</v>
      </c>
    </row>
    <row r="1098">
      <c r="A1098" t="s">
        <v>383</v>
      </c>
      <c r="B1098" t="s">
        <v>758</v>
      </c>
      <c r="C1098" t="s">
        <v>407</v>
      </c>
      <c r="D1098" t="s">
        <v>408</v>
      </c>
    </row>
    <row r="1099">
      <c r="A1099" t="s">
        <v>384</v>
      </c>
      <c r="B1099" t="s">
        <v>1213</v>
      </c>
      <c r="C1099" t="s">
        <v>473</v>
      </c>
      <c r="D1099" t="s">
        <v>411</v>
      </c>
    </row>
    <row r="1100">
      <c r="A1100" t="s">
        <v>384</v>
      </c>
      <c r="B1100" t="s">
        <v>1214</v>
      </c>
      <c r="C1100" t="s">
        <v>473</v>
      </c>
      <c r="D1100" t="s">
        <v>411</v>
      </c>
    </row>
    <row r="1101">
      <c r="A1101" t="s">
        <v>384</v>
      </c>
      <c r="B1101" t="s">
        <v>1215</v>
      </c>
      <c r="C1101" t="s">
        <v>473</v>
      </c>
      <c r="D1101" t="s">
        <v>411</v>
      </c>
    </row>
    <row r="1102">
      <c r="A1102" t="s">
        <v>384</v>
      </c>
      <c r="B1102" t="s">
        <v>1216</v>
      </c>
      <c r="C1102" t="s">
        <v>473</v>
      </c>
      <c r="D1102" t="s">
        <v>411</v>
      </c>
    </row>
    <row r="1103">
      <c r="A1103" t="s">
        <v>384</v>
      </c>
      <c r="B1103" t="s">
        <v>1217</v>
      </c>
      <c r="C1103" t="s">
        <v>473</v>
      </c>
      <c r="D1103" t="s">
        <v>411</v>
      </c>
    </row>
    <row r="1104">
      <c r="A1104" t="s">
        <v>384</v>
      </c>
      <c r="B1104" t="s">
        <v>1218</v>
      </c>
      <c r="C1104" t="s">
        <v>473</v>
      </c>
      <c r="D1104" t="s">
        <v>411</v>
      </c>
    </row>
    <row r="1105">
      <c r="A1105" t="s">
        <v>384</v>
      </c>
      <c r="B1105" t="s">
        <v>1219</v>
      </c>
      <c r="C1105" t="s">
        <v>473</v>
      </c>
      <c r="D1105" t="s">
        <v>411</v>
      </c>
    </row>
    <row r="1106">
      <c r="A1106" t="s">
        <v>384</v>
      </c>
      <c r="B1106" t="s">
        <v>943</v>
      </c>
      <c r="C1106" t="s">
        <v>473</v>
      </c>
      <c r="D1106" t="s">
        <v>411</v>
      </c>
    </row>
    <row r="1107">
      <c r="A1107" t="s">
        <v>384</v>
      </c>
      <c r="B1107" t="s">
        <v>1031</v>
      </c>
      <c r="C1107" t="s">
        <v>473</v>
      </c>
      <c r="D1107" t="s">
        <v>411</v>
      </c>
    </row>
    <row r="1108">
      <c r="A1108" t="s">
        <v>384</v>
      </c>
      <c r="B1108" t="s">
        <v>1220</v>
      </c>
      <c r="C1108" t="s">
        <v>473</v>
      </c>
      <c r="D1108" t="s">
        <v>411</v>
      </c>
    </row>
    <row r="1109">
      <c r="A1109" t="s">
        <v>384</v>
      </c>
      <c r="B1109" t="s">
        <v>1221</v>
      </c>
      <c r="C1109" t="s">
        <v>494</v>
      </c>
      <c r="D1109" t="s">
        <v>411</v>
      </c>
    </row>
    <row r="1110">
      <c r="A1110" t="s">
        <v>384</v>
      </c>
      <c r="B1110" t="s">
        <v>1222</v>
      </c>
      <c r="C1110" t="s">
        <v>494</v>
      </c>
      <c r="D1110" t="s">
        <v>411</v>
      </c>
    </row>
    <row r="1111">
      <c r="A1111" t="s">
        <v>384</v>
      </c>
      <c r="B1111" t="s">
        <v>692</v>
      </c>
      <c r="C1111" t="s">
        <v>487</v>
      </c>
      <c r="D1111" t="s">
        <v>411</v>
      </c>
    </row>
    <row r="1112">
      <c r="A1112" t="s">
        <v>384</v>
      </c>
      <c r="B1112" t="s">
        <v>944</v>
      </c>
      <c r="C1112" t="s">
        <v>491</v>
      </c>
      <c r="D1112" t="s">
        <v>411</v>
      </c>
    </row>
    <row r="1113">
      <c r="A1113" t="s">
        <v>384</v>
      </c>
      <c r="B1113" t="s">
        <v>944</v>
      </c>
      <c r="C1113" t="s">
        <v>492</v>
      </c>
      <c r="D1113" t="s">
        <v>411</v>
      </c>
    </row>
    <row r="1114">
      <c r="A1114" t="s">
        <v>384</v>
      </c>
      <c r="B1114" t="s">
        <v>1223</v>
      </c>
      <c r="C1114" t="s">
        <v>494</v>
      </c>
      <c r="D1114" t="s">
        <v>411</v>
      </c>
    </row>
    <row r="1115">
      <c r="A1115" t="s">
        <v>384</v>
      </c>
      <c r="B1115" t="s">
        <v>1224</v>
      </c>
      <c r="C1115" t="s">
        <v>473</v>
      </c>
      <c r="D1115" t="s">
        <v>411</v>
      </c>
    </row>
    <row r="1116">
      <c r="A1116" t="s">
        <v>384</v>
      </c>
      <c r="B1116" t="s">
        <v>1225</v>
      </c>
      <c r="C1116" t="s">
        <v>473</v>
      </c>
      <c r="D1116" t="s">
        <v>411</v>
      </c>
    </row>
    <row r="1117">
      <c r="A1117" t="s">
        <v>384</v>
      </c>
      <c r="B1117" t="s">
        <v>1226</v>
      </c>
      <c r="C1117" t="s">
        <v>473</v>
      </c>
      <c r="D1117" t="s">
        <v>411</v>
      </c>
    </row>
    <row r="1118">
      <c r="A1118" t="s">
        <v>384</v>
      </c>
      <c r="B1118" t="s">
        <v>1227</v>
      </c>
      <c r="C1118" t="s">
        <v>473</v>
      </c>
      <c r="D1118" t="s">
        <v>411</v>
      </c>
    </row>
    <row r="1119">
      <c r="A1119" t="s">
        <v>384</v>
      </c>
      <c r="B1119" t="s">
        <v>1228</v>
      </c>
      <c r="C1119" t="s">
        <v>473</v>
      </c>
      <c r="D1119" t="s">
        <v>411</v>
      </c>
    </row>
    <row r="1120">
      <c r="A1120" t="s">
        <v>384</v>
      </c>
      <c r="B1120" t="s">
        <v>945</v>
      </c>
      <c r="C1120" t="s">
        <v>487</v>
      </c>
      <c r="D1120" t="s">
        <v>411</v>
      </c>
    </row>
    <row r="1121">
      <c r="A1121" t="s">
        <v>384</v>
      </c>
      <c r="B1121" t="s">
        <v>1229</v>
      </c>
      <c r="C1121" t="s">
        <v>489</v>
      </c>
      <c r="D1121" t="s">
        <v>411</v>
      </c>
    </row>
    <row r="1122">
      <c r="A1122" t="s">
        <v>384</v>
      </c>
      <c r="B1122" t="s">
        <v>1032</v>
      </c>
      <c r="C1122" t="s">
        <v>491</v>
      </c>
      <c r="D1122" t="s">
        <v>411</v>
      </c>
    </row>
    <row r="1123">
      <c r="A1123" t="s">
        <v>384</v>
      </c>
      <c r="B1123" t="s">
        <v>1032</v>
      </c>
      <c r="C1123" t="s">
        <v>492</v>
      </c>
      <c r="D1123" t="s">
        <v>411</v>
      </c>
    </row>
    <row r="1124">
      <c r="A1124" t="s">
        <v>384</v>
      </c>
      <c r="B1124" t="s">
        <v>1230</v>
      </c>
      <c r="C1124" t="s">
        <v>473</v>
      </c>
      <c r="D1124" t="s">
        <v>411</v>
      </c>
    </row>
    <row r="1125">
      <c r="A1125" t="s">
        <v>384</v>
      </c>
      <c r="B1125" t="s">
        <v>1231</v>
      </c>
      <c r="C1125" t="s">
        <v>494</v>
      </c>
      <c r="D1125" t="s">
        <v>411</v>
      </c>
    </row>
    <row r="1126">
      <c r="A1126" t="s">
        <v>384</v>
      </c>
      <c r="B1126" t="s">
        <v>946</v>
      </c>
      <c r="C1126" t="s">
        <v>487</v>
      </c>
      <c r="D1126" t="s">
        <v>411</v>
      </c>
    </row>
    <row r="1127">
      <c r="A1127" t="s">
        <v>384</v>
      </c>
      <c r="B1127" t="s">
        <v>947</v>
      </c>
      <c r="C1127" t="s">
        <v>507</v>
      </c>
      <c r="D1127" t="s">
        <v>408</v>
      </c>
    </row>
    <row r="1128">
      <c r="A1128" t="s">
        <v>384</v>
      </c>
      <c r="B1128" t="s">
        <v>915</v>
      </c>
      <c r="C1128" t="s">
        <v>507</v>
      </c>
      <c r="D1128" t="s">
        <v>408</v>
      </c>
    </row>
    <row r="1129">
      <c r="A1129" t="s">
        <v>384</v>
      </c>
      <c r="B1129" t="s">
        <v>914</v>
      </c>
      <c r="C1129" t="s">
        <v>410</v>
      </c>
      <c r="D1129" t="s">
        <v>411</v>
      </c>
    </row>
    <row r="1130">
      <c r="A1130" t="s">
        <v>384</v>
      </c>
      <c r="B1130" t="s">
        <v>948</v>
      </c>
      <c r="C1130" t="s">
        <v>410</v>
      </c>
      <c r="D1130" t="s">
        <v>411</v>
      </c>
    </row>
    <row r="1131">
      <c r="A1131" t="s">
        <v>384</v>
      </c>
      <c r="B1131" t="s">
        <v>916</v>
      </c>
      <c r="C1131" t="s">
        <v>410</v>
      </c>
      <c r="D1131" t="s">
        <v>411</v>
      </c>
    </row>
    <row r="1132">
      <c r="A1132" t="s">
        <v>384</v>
      </c>
      <c r="B1132" t="s">
        <v>917</v>
      </c>
      <c r="C1132" t="s">
        <v>410</v>
      </c>
      <c r="D1132" t="s">
        <v>411</v>
      </c>
    </row>
    <row r="1133">
      <c r="A1133" t="s">
        <v>384</v>
      </c>
      <c r="B1133" t="s">
        <v>918</v>
      </c>
      <c r="C1133" t="s">
        <v>410</v>
      </c>
      <c r="D1133" t="s">
        <v>411</v>
      </c>
    </row>
    <row r="1134">
      <c r="A1134" t="s">
        <v>384</v>
      </c>
      <c r="B1134" t="s">
        <v>919</v>
      </c>
      <c r="C1134" t="s">
        <v>413</v>
      </c>
      <c r="D1134" t="s">
        <v>411</v>
      </c>
    </row>
    <row r="1135">
      <c r="A1135" t="s">
        <v>384</v>
      </c>
      <c r="B1135" t="s">
        <v>920</v>
      </c>
      <c r="C1135" t="s">
        <v>413</v>
      </c>
      <c r="D1135" t="s">
        <v>411</v>
      </c>
    </row>
    <row r="1136">
      <c r="A1136" t="s">
        <v>384</v>
      </c>
      <c r="B1136" t="s">
        <v>921</v>
      </c>
      <c r="C1136" t="s">
        <v>413</v>
      </c>
      <c r="D1136" t="s">
        <v>411</v>
      </c>
    </row>
    <row r="1137">
      <c r="A1137" t="s">
        <v>384</v>
      </c>
      <c r="B1137" t="s">
        <v>922</v>
      </c>
      <c r="C1137" t="s">
        <v>413</v>
      </c>
      <c r="D1137" t="s">
        <v>411</v>
      </c>
    </row>
    <row r="1138">
      <c r="A1138" t="s">
        <v>384</v>
      </c>
      <c r="B1138" t="s">
        <v>923</v>
      </c>
      <c r="C1138" t="s">
        <v>413</v>
      </c>
      <c r="D1138" t="s">
        <v>411</v>
      </c>
    </row>
    <row r="1139">
      <c r="A1139" t="s">
        <v>384</v>
      </c>
      <c r="B1139" t="s">
        <v>924</v>
      </c>
      <c r="C1139" t="s">
        <v>413</v>
      </c>
      <c r="D1139" t="s">
        <v>411</v>
      </c>
    </row>
    <row r="1140">
      <c r="A1140" t="s">
        <v>384</v>
      </c>
      <c r="B1140" t="s">
        <v>925</v>
      </c>
      <c r="C1140" t="s">
        <v>413</v>
      </c>
      <c r="D1140" t="s">
        <v>411</v>
      </c>
    </row>
    <row r="1141">
      <c r="A1141" t="s">
        <v>384</v>
      </c>
      <c r="B1141" t="s">
        <v>926</v>
      </c>
      <c r="C1141" t="s">
        <v>413</v>
      </c>
      <c r="D1141" t="s">
        <v>411</v>
      </c>
    </row>
    <row r="1142">
      <c r="A1142" t="s">
        <v>384</v>
      </c>
      <c r="B1142" t="s">
        <v>927</v>
      </c>
      <c r="C1142" t="s">
        <v>413</v>
      </c>
      <c r="D1142" t="s">
        <v>411</v>
      </c>
    </row>
    <row r="1143">
      <c r="A1143" t="s">
        <v>384</v>
      </c>
      <c r="B1143" t="s">
        <v>928</v>
      </c>
      <c r="C1143" t="s">
        <v>413</v>
      </c>
      <c r="D1143" t="s">
        <v>411</v>
      </c>
    </row>
    <row r="1144">
      <c r="A1144" t="s">
        <v>384</v>
      </c>
      <c r="B1144" t="s">
        <v>929</v>
      </c>
      <c r="C1144" t="s">
        <v>413</v>
      </c>
      <c r="D1144" t="s">
        <v>411</v>
      </c>
    </row>
    <row r="1145">
      <c r="A1145" t="s">
        <v>384</v>
      </c>
      <c r="B1145" t="s">
        <v>930</v>
      </c>
      <c r="C1145" t="s">
        <v>413</v>
      </c>
      <c r="D1145" t="s">
        <v>411</v>
      </c>
    </row>
    <row r="1146">
      <c r="A1146" t="s">
        <v>384</v>
      </c>
      <c r="B1146" t="s">
        <v>931</v>
      </c>
      <c r="C1146" t="s">
        <v>413</v>
      </c>
      <c r="D1146" t="s">
        <v>411</v>
      </c>
    </row>
    <row r="1147">
      <c r="A1147" t="s">
        <v>384</v>
      </c>
      <c r="B1147" t="s">
        <v>1232</v>
      </c>
      <c r="C1147" t="s">
        <v>410</v>
      </c>
      <c r="D1147" t="s">
        <v>411</v>
      </c>
    </row>
    <row r="1148">
      <c r="A1148" t="s">
        <v>384</v>
      </c>
      <c r="B1148" t="s">
        <v>932</v>
      </c>
      <c r="C1148" t="s">
        <v>487</v>
      </c>
      <c r="D1148" t="s">
        <v>411</v>
      </c>
    </row>
    <row r="1149">
      <c r="A1149" t="s">
        <v>384</v>
      </c>
      <c r="B1149" t="s">
        <v>933</v>
      </c>
      <c r="C1149" t="s">
        <v>491</v>
      </c>
      <c r="D1149" t="s">
        <v>411</v>
      </c>
    </row>
    <row r="1150">
      <c r="A1150" t="s">
        <v>384</v>
      </c>
      <c r="B1150" t="s">
        <v>933</v>
      </c>
      <c r="C1150" t="s">
        <v>492</v>
      </c>
      <c r="D1150" t="s">
        <v>411</v>
      </c>
    </row>
    <row r="1151">
      <c r="A1151" t="s">
        <v>384</v>
      </c>
      <c r="B1151" t="s">
        <v>934</v>
      </c>
      <c r="C1151" t="s">
        <v>491</v>
      </c>
      <c r="D1151" t="s">
        <v>411</v>
      </c>
    </row>
    <row r="1152">
      <c r="A1152" t="s">
        <v>384</v>
      </c>
      <c r="B1152" t="s">
        <v>934</v>
      </c>
      <c r="C1152" t="s">
        <v>492</v>
      </c>
      <c r="D1152" t="s">
        <v>411</v>
      </c>
    </row>
    <row r="1153">
      <c r="A1153" t="s">
        <v>384</v>
      </c>
      <c r="B1153" t="s">
        <v>935</v>
      </c>
      <c r="C1153" t="s">
        <v>489</v>
      </c>
      <c r="D1153" t="s">
        <v>411</v>
      </c>
    </row>
    <row r="1154">
      <c r="A1154" t="s">
        <v>384</v>
      </c>
      <c r="B1154" t="s">
        <v>935</v>
      </c>
      <c r="C1154" t="s">
        <v>492</v>
      </c>
      <c r="D1154" t="s">
        <v>411</v>
      </c>
    </row>
    <row r="1155">
      <c r="A1155" t="s">
        <v>384</v>
      </c>
      <c r="B1155" t="s">
        <v>936</v>
      </c>
      <c r="C1155" t="s">
        <v>465</v>
      </c>
      <c r="D1155" t="s">
        <v>411</v>
      </c>
    </row>
    <row r="1156">
      <c r="A1156" t="s">
        <v>384</v>
      </c>
      <c r="B1156" t="s">
        <v>937</v>
      </c>
      <c r="C1156" t="s">
        <v>491</v>
      </c>
      <c r="D1156" t="s">
        <v>411</v>
      </c>
    </row>
    <row r="1157">
      <c r="A1157" t="s">
        <v>384</v>
      </c>
      <c r="B1157" t="s">
        <v>937</v>
      </c>
      <c r="C1157" t="s">
        <v>492</v>
      </c>
      <c r="D1157" t="s">
        <v>411</v>
      </c>
    </row>
    <row r="1158">
      <c r="A1158" t="s">
        <v>384</v>
      </c>
      <c r="B1158" t="s">
        <v>938</v>
      </c>
      <c r="C1158" t="s">
        <v>489</v>
      </c>
      <c r="D1158" t="s">
        <v>411</v>
      </c>
    </row>
    <row r="1159">
      <c r="A1159" t="s">
        <v>384</v>
      </c>
      <c r="B1159" t="s">
        <v>938</v>
      </c>
      <c r="C1159" t="s">
        <v>492</v>
      </c>
      <c r="D1159" t="s">
        <v>411</v>
      </c>
    </row>
    <row r="1160">
      <c r="A1160" t="s">
        <v>384</v>
      </c>
      <c r="B1160" t="s">
        <v>939</v>
      </c>
      <c r="C1160" t="s">
        <v>489</v>
      </c>
      <c r="D1160" t="s">
        <v>411</v>
      </c>
    </row>
    <row r="1161">
      <c r="A1161" t="s">
        <v>384</v>
      </c>
      <c r="B1161" t="s">
        <v>939</v>
      </c>
      <c r="C1161" t="s">
        <v>492</v>
      </c>
      <c r="D1161" t="s">
        <v>411</v>
      </c>
    </row>
    <row r="1162">
      <c r="A1162" t="s">
        <v>384</v>
      </c>
      <c r="B1162" t="s">
        <v>1233</v>
      </c>
      <c r="C1162" t="s">
        <v>473</v>
      </c>
      <c r="D1162" t="s">
        <v>411</v>
      </c>
    </row>
    <row r="1163">
      <c r="A1163" t="s">
        <v>384</v>
      </c>
      <c r="B1163" t="s">
        <v>1234</v>
      </c>
      <c r="C1163" t="s">
        <v>473</v>
      </c>
      <c r="D1163" t="s">
        <v>411</v>
      </c>
    </row>
    <row r="1164">
      <c r="A1164" t="s">
        <v>384</v>
      </c>
      <c r="B1164" t="s">
        <v>1235</v>
      </c>
      <c r="C1164" t="s">
        <v>473</v>
      </c>
      <c r="D1164" t="s">
        <v>411</v>
      </c>
    </row>
    <row r="1165">
      <c r="A1165" t="s">
        <v>384</v>
      </c>
      <c r="B1165" t="s">
        <v>1236</v>
      </c>
      <c r="C1165" t="s">
        <v>473</v>
      </c>
      <c r="D1165" t="s">
        <v>411</v>
      </c>
    </row>
    <row r="1166">
      <c r="A1166" t="s">
        <v>384</v>
      </c>
      <c r="B1166" t="s">
        <v>1237</v>
      </c>
      <c r="C1166" t="s">
        <v>473</v>
      </c>
      <c r="D1166" t="s">
        <v>411</v>
      </c>
    </row>
    <row r="1167">
      <c r="A1167" t="s">
        <v>384</v>
      </c>
      <c r="B1167" t="s">
        <v>406</v>
      </c>
      <c r="C1167" t="s">
        <v>487</v>
      </c>
      <c r="D1167" t="s">
        <v>411</v>
      </c>
    </row>
    <row r="1168">
      <c r="A1168" t="s">
        <v>384</v>
      </c>
      <c r="B1168" t="s">
        <v>940</v>
      </c>
      <c r="C1168" t="s">
        <v>489</v>
      </c>
      <c r="D1168" t="s">
        <v>411</v>
      </c>
    </row>
    <row r="1169">
      <c r="A1169" t="s">
        <v>384</v>
      </c>
      <c r="B1169" t="s">
        <v>940</v>
      </c>
      <c r="C1169" t="s">
        <v>492</v>
      </c>
      <c r="D1169" t="s">
        <v>411</v>
      </c>
    </row>
    <row r="1170">
      <c r="A1170" t="s">
        <v>384</v>
      </c>
      <c r="B1170" t="s">
        <v>941</v>
      </c>
      <c r="C1170" t="s">
        <v>491</v>
      </c>
      <c r="D1170" t="s">
        <v>411</v>
      </c>
    </row>
    <row r="1171">
      <c r="A1171" t="s">
        <v>384</v>
      </c>
      <c r="B1171" t="s">
        <v>941</v>
      </c>
      <c r="C1171" t="s">
        <v>492</v>
      </c>
      <c r="D1171" t="s">
        <v>411</v>
      </c>
    </row>
    <row r="1172">
      <c r="A1172" t="s">
        <v>384</v>
      </c>
      <c r="B1172" t="s">
        <v>1030</v>
      </c>
      <c r="C1172" t="s">
        <v>491</v>
      </c>
      <c r="D1172" t="s">
        <v>411</v>
      </c>
    </row>
    <row r="1173">
      <c r="A1173" t="s">
        <v>384</v>
      </c>
      <c r="B1173" t="s">
        <v>1030</v>
      </c>
      <c r="C1173" t="s">
        <v>492</v>
      </c>
      <c r="D1173" t="s">
        <v>411</v>
      </c>
    </row>
    <row r="1174">
      <c r="A1174" t="s">
        <v>384</v>
      </c>
      <c r="B1174" t="s">
        <v>1238</v>
      </c>
      <c r="C1174" t="s">
        <v>494</v>
      </c>
      <c r="D1174" t="s">
        <v>411</v>
      </c>
    </row>
    <row r="1175">
      <c r="A1175" t="s">
        <v>384</v>
      </c>
      <c r="B1175" t="s">
        <v>1239</v>
      </c>
      <c r="C1175" t="s">
        <v>494</v>
      </c>
      <c r="D1175" t="s">
        <v>411</v>
      </c>
    </row>
    <row r="1176">
      <c r="A1176" t="s">
        <v>384</v>
      </c>
      <c r="B1176" t="s">
        <v>942</v>
      </c>
      <c r="C1176" t="s">
        <v>489</v>
      </c>
      <c r="D1176" t="s">
        <v>411</v>
      </c>
    </row>
    <row r="1177">
      <c r="A1177" t="s">
        <v>384</v>
      </c>
      <c r="B1177" t="s">
        <v>942</v>
      </c>
      <c r="C1177" t="s">
        <v>492</v>
      </c>
      <c r="D1177" t="s">
        <v>411</v>
      </c>
    </row>
    <row r="1178">
      <c r="A1178" t="s">
        <v>386</v>
      </c>
      <c r="B1178" t="s">
        <v>1240</v>
      </c>
      <c r="C1178" t="s">
        <v>473</v>
      </c>
      <c r="D1178" t="s">
        <v>411</v>
      </c>
    </row>
    <row r="1179">
      <c r="A1179" t="s">
        <v>386</v>
      </c>
      <c r="B1179" t="s">
        <v>976</v>
      </c>
      <c r="C1179" t="s">
        <v>494</v>
      </c>
      <c r="D1179" t="s">
        <v>408</v>
      </c>
    </row>
    <row r="1180">
      <c r="A1180" t="s">
        <v>386</v>
      </c>
      <c r="B1180" t="s">
        <v>1241</v>
      </c>
      <c r="C1180" t="s">
        <v>505</v>
      </c>
      <c r="D1180" t="s">
        <v>408</v>
      </c>
    </row>
    <row r="1181">
      <c r="A1181" t="s">
        <v>386</v>
      </c>
      <c r="B1181" t="s">
        <v>1242</v>
      </c>
      <c r="C1181" t="s">
        <v>505</v>
      </c>
      <c r="D1181" t="s">
        <v>408</v>
      </c>
    </row>
    <row r="1182">
      <c r="A1182" t="s">
        <v>386</v>
      </c>
      <c r="B1182" t="s">
        <v>1243</v>
      </c>
      <c r="C1182" t="s">
        <v>505</v>
      </c>
      <c r="D1182" t="s">
        <v>408</v>
      </c>
    </row>
    <row r="1183">
      <c r="A1183" t="s">
        <v>386</v>
      </c>
      <c r="B1183" t="s">
        <v>968</v>
      </c>
      <c r="C1183" t="s">
        <v>473</v>
      </c>
      <c r="D1183" t="s">
        <v>411</v>
      </c>
    </row>
    <row r="1184">
      <c r="A1184" t="s">
        <v>386</v>
      </c>
      <c r="B1184" t="s">
        <v>1166</v>
      </c>
      <c r="C1184" t="s">
        <v>410</v>
      </c>
      <c r="D1184" t="s">
        <v>411</v>
      </c>
    </row>
    <row r="1185">
      <c r="A1185" t="s">
        <v>386</v>
      </c>
      <c r="B1185" t="s">
        <v>1167</v>
      </c>
      <c r="C1185" t="s">
        <v>410</v>
      </c>
      <c r="D1185" t="s">
        <v>411</v>
      </c>
    </row>
    <row r="1186">
      <c r="A1186" t="s">
        <v>386</v>
      </c>
      <c r="B1186" t="s">
        <v>1168</v>
      </c>
      <c r="C1186" t="s">
        <v>410</v>
      </c>
      <c r="D1186" t="s">
        <v>411</v>
      </c>
    </row>
    <row r="1187">
      <c r="A1187" t="s">
        <v>386</v>
      </c>
      <c r="B1187" t="s">
        <v>1169</v>
      </c>
      <c r="C1187" t="s">
        <v>410</v>
      </c>
      <c r="D1187" t="s">
        <v>411</v>
      </c>
    </row>
    <row r="1188">
      <c r="A1188" t="s">
        <v>386</v>
      </c>
      <c r="B1188" t="s">
        <v>1170</v>
      </c>
      <c r="C1188" t="s">
        <v>410</v>
      </c>
      <c r="D1188" t="s">
        <v>411</v>
      </c>
    </row>
    <row r="1189">
      <c r="A1189" t="s">
        <v>386</v>
      </c>
      <c r="B1189" t="s">
        <v>1171</v>
      </c>
      <c r="C1189" t="s">
        <v>410</v>
      </c>
      <c r="D1189" t="s">
        <v>411</v>
      </c>
    </row>
    <row r="1190">
      <c r="A1190" t="s">
        <v>386</v>
      </c>
      <c r="B1190" t="s">
        <v>1172</v>
      </c>
      <c r="C1190" t="s">
        <v>410</v>
      </c>
      <c r="D1190" t="s">
        <v>411</v>
      </c>
    </row>
    <row r="1191">
      <c r="A1191" t="s">
        <v>386</v>
      </c>
      <c r="B1191" t="s">
        <v>1173</v>
      </c>
      <c r="C1191" t="s">
        <v>410</v>
      </c>
      <c r="D1191" t="s">
        <v>411</v>
      </c>
    </row>
    <row r="1192">
      <c r="A1192" t="s">
        <v>386</v>
      </c>
      <c r="B1192" t="s">
        <v>1174</v>
      </c>
      <c r="C1192" t="s">
        <v>410</v>
      </c>
      <c r="D1192" t="s">
        <v>411</v>
      </c>
    </row>
    <row r="1193">
      <c r="A1193" t="s">
        <v>386</v>
      </c>
      <c r="B1193" t="s">
        <v>1175</v>
      </c>
      <c r="C1193" t="s">
        <v>410</v>
      </c>
      <c r="D1193" t="s">
        <v>411</v>
      </c>
    </row>
    <row r="1194">
      <c r="A1194" t="s">
        <v>386</v>
      </c>
      <c r="B1194" t="s">
        <v>1176</v>
      </c>
      <c r="C1194" t="s">
        <v>410</v>
      </c>
      <c r="D1194" t="s">
        <v>411</v>
      </c>
    </row>
    <row r="1195">
      <c r="A1195" t="s">
        <v>386</v>
      </c>
      <c r="B1195" t="s">
        <v>1177</v>
      </c>
      <c r="C1195" t="s">
        <v>410</v>
      </c>
      <c r="D1195" t="s">
        <v>411</v>
      </c>
    </row>
    <row r="1196">
      <c r="A1196" t="s">
        <v>386</v>
      </c>
      <c r="B1196" t="s">
        <v>1178</v>
      </c>
      <c r="C1196" t="s">
        <v>410</v>
      </c>
      <c r="D1196" t="s">
        <v>411</v>
      </c>
    </row>
    <row r="1197">
      <c r="A1197" t="s">
        <v>386</v>
      </c>
      <c r="B1197" t="s">
        <v>1179</v>
      </c>
      <c r="C1197" t="s">
        <v>410</v>
      </c>
      <c r="D1197" t="s">
        <v>411</v>
      </c>
    </row>
    <row r="1198">
      <c r="A1198" t="s">
        <v>386</v>
      </c>
      <c r="B1198" t="s">
        <v>1180</v>
      </c>
      <c r="C1198" t="s">
        <v>410</v>
      </c>
      <c r="D1198" t="s">
        <v>411</v>
      </c>
    </row>
    <row r="1199">
      <c r="A1199" t="s">
        <v>386</v>
      </c>
      <c r="B1199" t="s">
        <v>1181</v>
      </c>
      <c r="C1199" t="s">
        <v>410</v>
      </c>
      <c r="D1199" t="s">
        <v>411</v>
      </c>
    </row>
    <row r="1200">
      <c r="A1200" t="s">
        <v>386</v>
      </c>
      <c r="B1200" t="s">
        <v>1182</v>
      </c>
      <c r="C1200" t="s">
        <v>410</v>
      </c>
      <c r="D1200" t="s">
        <v>411</v>
      </c>
    </row>
    <row r="1201">
      <c r="A1201" t="s">
        <v>386</v>
      </c>
      <c r="B1201" t="s">
        <v>958</v>
      </c>
      <c r="C1201" t="s">
        <v>410</v>
      </c>
      <c r="D1201" t="s">
        <v>411</v>
      </c>
    </row>
    <row r="1202">
      <c r="A1202" t="s">
        <v>386</v>
      </c>
      <c r="B1202" t="s">
        <v>959</v>
      </c>
      <c r="C1202" t="s">
        <v>410</v>
      </c>
      <c r="D1202" t="s">
        <v>411</v>
      </c>
    </row>
    <row r="1203">
      <c r="A1203" t="s">
        <v>386</v>
      </c>
      <c r="B1203" t="s">
        <v>1183</v>
      </c>
      <c r="C1203" t="s">
        <v>410</v>
      </c>
      <c r="D1203" t="s">
        <v>411</v>
      </c>
    </row>
    <row r="1204">
      <c r="A1204" t="s">
        <v>386</v>
      </c>
      <c r="B1204" t="s">
        <v>1184</v>
      </c>
      <c r="C1204" t="s">
        <v>410</v>
      </c>
      <c r="D1204" t="s">
        <v>411</v>
      </c>
    </row>
    <row r="1205">
      <c r="A1205" t="s">
        <v>386</v>
      </c>
      <c r="B1205" t="s">
        <v>1185</v>
      </c>
      <c r="C1205" t="s">
        <v>410</v>
      </c>
      <c r="D1205" t="s">
        <v>411</v>
      </c>
    </row>
    <row r="1206">
      <c r="A1206" t="s">
        <v>386</v>
      </c>
      <c r="B1206" t="s">
        <v>960</v>
      </c>
      <c r="C1206" t="s">
        <v>410</v>
      </c>
      <c r="D1206" t="s">
        <v>411</v>
      </c>
    </row>
    <row r="1207">
      <c r="A1207" t="s">
        <v>386</v>
      </c>
      <c r="B1207" t="s">
        <v>1186</v>
      </c>
      <c r="C1207" t="s">
        <v>410</v>
      </c>
      <c r="D1207" t="s">
        <v>411</v>
      </c>
    </row>
    <row r="1208">
      <c r="A1208" t="s">
        <v>386</v>
      </c>
      <c r="B1208" t="s">
        <v>1187</v>
      </c>
      <c r="C1208" t="s">
        <v>410</v>
      </c>
      <c r="D1208" t="s">
        <v>411</v>
      </c>
    </row>
    <row r="1209">
      <c r="A1209" t="s">
        <v>386</v>
      </c>
      <c r="B1209" t="s">
        <v>1188</v>
      </c>
      <c r="C1209" t="s">
        <v>410</v>
      </c>
      <c r="D1209" t="s">
        <v>411</v>
      </c>
    </row>
    <row r="1210">
      <c r="A1210" t="s">
        <v>386</v>
      </c>
      <c r="B1210" t="s">
        <v>1189</v>
      </c>
      <c r="C1210" t="s">
        <v>410</v>
      </c>
      <c r="D1210" t="s">
        <v>411</v>
      </c>
    </row>
    <row r="1211">
      <c r="A1211" t="s">
        <v>386</v>
      </c>
      <c r="B1211" t="s">
        <v>1190</v>
      </c>
      <c r="C1211" t="s">
        <v>410</v>
      </c>
      <c r="D1211" t="s">
        <v>411</v>
      </c>
    </row>
    <row r="1212">
      <c r="A1212" t="s">
        <v>386</v>
      </c>
      <c r="B1212" t="s">
        <v>1191</v>
      </c>
      <c r="C1212" t="s">
        <v>410</v>
      </c>
      <c r="D1212" t="s">
        <v>411</v>
      </c>
    </row>
    <row r="1213">
      <c r="A1213" t="s">
        <v>386</v>
      </c>
      <c r="B1213" t="s">
        <v>1192</v>
      </c>
      <c r="C1213" t="s">
        <v>410</v>
      </c>
      <c r="D1213" t="s">
        <v>411</v>
      </c>
    </row>
    <row r="1214">
      <c r="A1214" t="s">
        <v>386</v>
      </c>
      <c r="B1214" t="s">
        <v>961</v>
      </c>
      <c r="C1214" t="s">
        <v>410</v>
      </c>
      <c r="D1214" t="s">
        <v>411</v>
      </c>
    </row>
    <row r="1215">
      <c r="A1215" t="s">
        <v>386</v>
      </c>
      <c r="B1215" t="s">
        <v>1193</v>
      </c>
      <c r="C1215" t="s">
        <v>410</v>
      </c>
      <c r="D1215" t="s">
        <v>411</v>
      </c>
    </row>
    <row r="1216">
      <c r="A1216" t="s">
        <v>386</v>
      </c>
      <c r="B1216" t="s">
        <v>1194</v>
      </c>
      <c r="C1216" t="s">
        <v>410</v>
      </c>
      <c r="D1216" t="s">
        <v>411</v>
      </c>
    </row>
    <row r="1217">
      <c r="A1217" t="s">
        <v>386</v>
      </c>
      <c r="B1217" t="s">
        <v>1195</v>
      </c>
      <c r="C1217" t="s">
        <v>410</v>
      </c>
      <c r="D1217" t="s">
        <v>411</v>
      </c>
    </row>
    <row r="1218">
      <c r="A1218" t="s">
        <v>386</v>
      </c>
      <c r="B1218" t="s">
        <v>1196</v>
      </c>
      <c r="C1218" t="s">
        <v>410</v>
      </c>
      <c r="D1218" t="s">
        <v>411</v>
      </c>
    </row>
    <row r="1219">
      <c r="A1219" t="s">
        <v>386</v>
      </c>
      <c r="B1219" t="s">
        <v>1197</v>
      </c>
      <c r="C1219" t="s">
        <v>410</v>
      </c>
      <c r="D1219" t="s">
        <v>411</v>
      </c>
    </row>
    <row r="1220">
      <c r="A1220" t="s">
        <v>386</v>
      </c>
      <c r="B1220" t="s">
        <v>1198</v>
      </c>
      <c r="C1220" t="s">
        <v>410</v>
      </c>
      <c r="D1220" t="s">
        <v>411</v>
      </c>
    </row>
    <row r="1221">
      <c r="A1221" t="s">
        <v>386</v>
      </c>
      <c r="B1221" t="s">
        <v>962</v>
      </c>
      <c r="C1221" t="s">
        <v>410</v>
      </c>
      <c r="D1221" t="s">
        <v>411</v>
      </c>
    </row>
    <row r="1222">
      <c r="A1222" t="s">
        <v>386</v>
      </c>
      <c r="B1222" t="s">
        <v>1199</v>
      </c>
      <c r="C1222" t="s">
        <v>410</v>
      </c>
      <c r="D1222" t="s">
        <v>411</v>
      </c>
    </row>
    <row r="1223">
      <c r="A1223" t="s">
        <v>386</v>
      </c>
      <c r="B1223" t="s">
        <v>1200</v>
      </c>
      <c r="C1223" t="s">
        <v>410</v>
      </c>
      <c r="D1223" t="s">
        <v>411</v>
      </c>
    </row>
    <row r="1224">
      <c r="A1224" t="s">
        <v>386</v>
      </c>
      <c r="B1224" t="s">
        <v>1201</v>
      </c>
      <c r="C1224" t="s">
        <v>410</v>
      </c>
      <c r="D1224" t="s">
        <v>411</v>
      </c>
    </row>
    <row r="1225">
      <c r="A1225" t="s">
        <v>386</v>
      </c>
      <c r="B1225" t="s">
        <v>963</v>
      </c>
      <c r="C1225" t="s">
        <v>410</v>
      </c>
      <c r="D1225" t="s">
        <v>411</v>
      </c>
    </row>
    <row r="1226">
      <c r="A1226" t="s">
        <v>386</v>
      </c>
      <c r="B1226" t="s">
        <v>1202</v>
      </c>
      <c r="C1226" t="s">
        <v>410</v>
      </c>
      <c r="D1226" t="s">
        <v>411</v>
      </c>
    </row>
    <row r="1227">
      <c r="A1227" t="s">
        <v>386</v>
      </c>
      <c r="B1227" t="s">
        <v>1203</v>
      </c>
      <c r="C1227" t="s">
        <v>410</v>
      </c>
      <c r="D1227" t="s">
        <v>411</v>
      </c>
    </row>
    <row r="1228">
      <c r="A1228" t="s">
        <v>386</v>
      </c>
      <c r="B1228" t="s">
        <v>964</v>
      </c>
      <c r="C1228" t="s">
        <v>410</v>
      </c>
      <c r="D1228" t="s">
        <v>411</v>
      </c>
    </row>
    <row r="1229">
      <c r="A1229" t="s">
        <v>386</v>
      </c>
      <c r="B1229" t="s">
        <v>1204</v>
      </c>
      <c r="C1229" t="s">
        <v>410</v>
      </c>
      <c r="D1229" t="s">
        <v>411</v>
      </c>
    </row>
    <row r="1230">
      <c r="A1230" t="s">
        <v>386</v>
      </c>
      <c r="B1230" t="s">
        <v>1205</v>
      </c>
      <c r="C1230" t="s">
        <v>410</v>
      </c>
      <c r="D1230" t="s">
        <v>411</v>
      </c>
    </row>
    <row r="1231">
      <c r="A1231" t="s">
        <v>386</v>
      </c>
      <c r="B1231" t="s">
        <v>1206</v>
      </c>
      <c r="C1231" t="s">
        <v>410</v>
      </c>
      <c r="D1231" t="s">
        <v>411</v>
      </c>
    </row>
    <row r="1232">
      <c r="A1232" t="s">
        <v>386</v>
      </c>
      <c r="B1232" t="s">
        <v>965</v>
      </c>
      <c r="C1232" t="s">
        <v>410</v>
      </c>
      <c r="D1232" t="s">
        <v>411</v>
      </c>
    </row>
    <row r="1233">
      <c r="A1233" t="s">
        <v>386</v>
      </c>
      <c r="B1233" t="s">
        <v>1207</v>
      </c>
      <c r="C1233" t="s">
        <v>410</v>
      </c>
      <c r="D1233" t="s">
        <v>411</v>
      </c>
    </row>
    <row r="1234">
      <c r="A1234" t="s">
        <v>386</v>
      </c>
      <c r="B1234" t="s">
        <v>1208</v>
      </c>
      <c r="C1234" t="s">
        <v>410</v>
      </c>
      <c r="D1234" t="s">
        <v>411</v>
      </c>
    </row>
    <row r="1235">
      <c r="A1235" t="s">
        <v>386</v>
      </c>
      <c r="B1235" t="s">
        <v>1209</v>
      </c>
      <c r="C1235" t="s">
        <v>410</v>
      </c>
      <c r="D1235" t="s">
        <v>411</v>
      </c>
    </row>
    <row r="1236">
      <c r="A1236" t="s">
        <v>386</v>
      </c>
      <c r="B1236" t="s">
        <v>1210</v>
      </c>
      <c r="C1236" t="s">
        <v>410</v>
      </c>
      <c r="D1236" t="s">
        <v>411</v>
      </c>
    </row>
    <row r="1237">
      <c r="A1237" t="s">
        <v>386</v>
      </c>
      <c r="B1237" t="s">
        <v>1211</v>
      </c>
      <c r="C1237" t="s">
        <v>410</v>
      </c>
      <c r="D1237" t="s">
        <v>411</v>
      </c>
    </row>
    <row r="1238">
      <c r="A1238" t="s">
        <v>386</v>
      </c>
      <c r="B1238" t="s">
        <v>1212</v>
      </c>
      <c r="C1238" t="s">
        <v>410</v>
      </c>
      <c r="D1238" t="s">
        <v>411</v>
      </c>
    </row>
    <row r="1239">
      <c r="A1239" t="s">
        <v>386</v>
      </c>
      <c r="B1239" t="s">
        <v>1244</v>
      </c>
      <c r="C1239" t="s">
        <v>491</v>
      </c>
      <c r="D1239" t="s">
        <v>408</v>
      </c>
    </row>
    <row r="1240">
      <c r="A1240" t="s">
        <v>386</v>
      </c>
      <c r="B1240" t="s">
        <v>1245</v>
      </c>
      <c r="C1240" t="s">
        <v>491</v>
      </c>
      <c r="D1240" t="s">
        <v>408</v>
      </c>
    </row>
    <row r="1241">
      <c r="A1241" t="s">
        <v>386</v>
      </c>
      <c r="B1241" t="s">
        <v>966</v>
      </c>
      <c r="C1241" t="s">
        <v>465</v>
      </c>
      <c r="D1241" t="s">
        <v>408</v>
      </c>
    </row>
    <row r="1242">
      <c r="A1242" t="s">
        <v>386</v>
      </c>
      <c r="B1242" t="s">
        <v>1246</v>
      </c>
      <c r="C1242" t="s">
        <v>491</v>
      </c>
      <c r="D1242" t="s">
        <v>408</v>
      </c>
    </row>
    <row r="1243">
      <c r="A1243" t="s">
        <v>386</v>
      </c>
      <c r="B1243" t="s">
        <v>1247</v>
      </c>
      <c r="C1243" t="s">
        <v>491</v>
      </c>
      <c r="D1243" t="s">
        <v>408</v>
      </c>
    </row>
    <row r="1244">
      <c r="A1244" t="s">
        <v>386</v>
      </c>
      <c r="B1244" t="s">
        <v>1248</v>
      </c>
      <c r="C1244" t="s">
        <v>491</v>
      </c>
      <c r="D1244" t="s">
        <v>408</v>
      </c>
    </row>
    <row r="1245">
      <c r="A1245" t="s">
        <v>386</v>
      </c>
      <c r="B1245" t="s">
        <v>1249</v>
      </c>
      <c r="C1245" t="s">
        <v>473</v>
      </c>
      <c r="D1245" t="s">
        <v>411</v>
      </c>
    </row>
    <row r="1246">
      <c r="A1246" t="s">
        <v>386</v>
      </c>
      <c r="B1246" t="s">
        <v>967</v>
      </c>
      <c r="C1246" t="s">
        <v>487</v>
      </c>
      <c r="D1246" t="s">
        <v>408</v>
      </c>
    </row>
    <row r="1247">
      <c r="A1247" t="s">
        <v>386</v>
      </c>
      <c r="B1247" t="s">
        <v>1250</v>
      </c>
      <c r="C1247" t="s">
        <v>489</v>
      </c>
      <c r="D1247" t="s">
        <v>408</v>
      </c>
    </row>
    <row r="1248">
      <c r="A1248" t="s">
        <v>386</v>
      </c>
      <c r="B1248" t="s">
        <v>1105</v>
      </c>
      <c r="C1248" t="s">
        <v>410</v>
      </c>
      <c r="D1248" t="s">
        <v>411</v>
      </c>
    </row>
    <row r="1249">
      <c r="A1249" t="s">
        <v>386</v>
      </c>
      <c r="B1249" t="s">
        <v>1106</v>
      </c>
      <c r="C1249" t="s">
        <v>410</v>
      </c>
      <c r="D1249" t="s">
        <v>411</v>
      </c>
    </row>
    <row r="1250">
      <c r="A1250" t="s">
        <v>386</v>
      </c>
      <c r="B1250" t="s">
        <v>1107</v>
      </c>
      <c r="C1250" t="s">
        <v>410</v>
      </c>
      <c r="D1250" t="s">
        <v>411</v>
      </c>
    </row>
    <row r="1251">
      <c r="A1251" t="s">
        <v>386</v>
      </c>
      <c r="B1251" t="s">
        <v>1108</v>
      </c>
      <c r="C1251" t="s">
        <v>410</v>
      </c>
      <c r="D1251" t="s">
        <v>411</v>
      </c>
    </row>
    <row r="1252">
      <c r="A1252" t="s">
        <v>386</v>
      </c>
      <c r="B1252" t="s">
        <v>1109</v>
      </c>
      <c r="C1252" t="s">
        <v>410</v>
      </c>
      <c r="D1252" t="s">
        <v>411</v>
      </c>
    </row>
    <row r="1253">
      <c r="A1253" t="s">
        <v>386</v>
      </c>
      <c r="B1253" t="s">
        <v>1110</v>
      </c>
      <c r="C1253" t="s">
        <v>410</v>
      </c>
      <c r="D1253" t="s">
        <v>411</v>
      </c>
    </row>
    <row r="1254">
      <c r="A1254" t="s">
        <v>386</v>
      </c>
      <c r="B1254" t="s">
        <v>1111</v>
      </c>
      <c r="C1254" t="s">
        <v>410</v>
      </c>
      <c r="D1254" t="s">
        <v>411</v>
      </c>
    </row>
    <row r="1255">
      <c r="A1255" t="s">
        <v>386</v>
      </c>
      <c r="B1255" t="s">
        <v>1112</v>
      </c>
      <c r="C1255" t="s">
        <v>410</v>
      </c>
      <c r="D1255" t="s">
        <v>411</v>
      </c>
    </row>
    <row r="1256">
      <c r="A1256" t="s">
        <v>386</v>
      </c>
      <c r="B1256" t="s">
        <v>1113</v>
      </c>
      <c r="C1256" t="s">
        <v>410</v>
      </c>
      <c r="D1256" t="s">
        <v>411</v>
      </c>
    </row>
    <row r="1257">
      <c r="A1257" t="s">
        <v>386</v>
      </c>
      <c r="B1257" t="s">
        <v>1114</v>
      </c>
      <c r="C1257" t="s">
        <v>410</v>
      </c>
      <c r="D1257" t="s">
        <v>411</v>
      </c>
    </row>
    <row r="1258">
      <c r="A1258" t="s">
        <v>386</v>
      </c>
      <c r="B1258" t="s">
        <v>1115</v>
      </c>
      <c r="C1258" t="s">
        <v>410</v>
      </c>
      <c r="D1258" t="s">
        <v>411</v>
      </c>
    </row>
    <row r="1259">
      <c r="A1259" t="s">
        <v>386</v>
      </c>
      <c r="B1259" t="s">
        <v>955</v>
      </c>
      <c r="C1259" t="s">
        <v>410</v>
      </c>
      <c r="D1259" t="s">
        <v>411</v>
      </c>
    </row>
    <row r="1260">
      <c r="A1260" t="s">
        <v>386</v>
      </c>
      <c r="B1260" t="s">
        <v>1116</v>
      </c>
      <c r="C1260" t="s">
        <v>410</v>
      </c>
      <c r="D1260" t="s">
        <v>411</v>
      </c>
    </row>
    <row r="1261">
      <c r="A1261" t="s">
        <v>386</v>
      </c>
      <c r="B1261" t="s">
        <v>1117</v>
      </c>
      <c r="C1261" t="s">
        <v>410</v>
      </c>
      <c r="D1261" t="s">
        <v>411</v>
      </c>
    </row>
    <row r="1262">
      <c r="A1262" t="s">
        <v>386</v>
      </c>
      <c r="B1262" t="s">
        <v>1118</v>
      </c>
      <c r="C1262" t="s">
        <v>410</v>
      </c>
      <c r="D1262" t="s">
        <v>411</v>
      </c>
    </row>
    <row r="1263">
      <c r="A1263" t="s">
        <v>386</v>
      </c>
      <c r="B1263" t="s">
        <v>1119</v>
      </c>
      <c r="C1263" t="s">
        <v>410</v>
      </c>
      <c r="D1263" t="s">
        <v>411</v>
      </c>
    </row>
    <row r="1264">
      <c r="A1264" t="s">
        <v>386</v>
      </c>
      <c r="B1264" t="s">
        <v>1120</v>
      </c>
      <c r="C1264" t="s">
        <v>410</v>
      </c>
      <c r="D1264" t="s">
        <v>411</v>
      </c>
    </row>
    <row r="1265">
      <c r="A1265" t="s">
        <v>386</v>
      </c>
      <c r="B1265" t="s">
        <v>1121</v>
      </c>
      <c r="C1265" t="s">
        <v>410</v>
      </c>
      <c r="D1265" t="s">
        <v>411</v>
      </c>
    </row>
    <row r="1266">
      <c r="A1266" t="s">
        <v>386</v>
      </c>
      <c r="B1266" t="s">
        <v>1122</v>
      </c>
      <c r="C1266" t="s">
        <v>410</v>
      </c>
      <c r="D1266" t="s">
        <v>411</v>
      </c>
    </row>
    <row r="1267">
      <c r="A1267" t="s">
        <v>386</v>
      </c>
      <c r="B1267" t="s">
        <v>1123</v>
      </c>
      <c r="C1267" t="s">
        <v>410</v>
      </c>
      <c r="D1267" t="s">
        <v>411</v>
      </c>
    </row>
    <row r="1268">
      <c r="A1268" t="s">
        <v>386</v>
      </c>
      <c r="B1268" t="s">
        <v>1124</v>
      </c>
      <c r="C1268" t="s">
        <v>410</v>
      </c>
      <c r="D1268" t="s">
        <v>411</v>
      </c>
    </row>
    <row r="1269">
      <c r="A1269" t="s">
        <v>386</v>
      </c>
      <c r="B1269" t="s">
        <v>1125</v>
      </c>
      <c r="C1269" t="s">
        <v>410</v>
      </c>
      <c r="D1269" t="s">
        <v>411</v>
      </c>
    </row>
    <row r="1270">
      <c r="A1270" t="s">
        <v>386</v>
      </c>
      <c r="B1270" t="s">
        <v>1126</v>
      </c>
      <c r="C1270" t="s">
        <v>410</v>
      </c>
      <c r="D1270" t="s">
        <v>411</v>
      </c>
    </row>
    <row r="1271">
      <c r="A1271" t="s">
        <v>386</v>
      </c>
      <c r="B1271" t="s">
        <v>1127</v>
      </c>
      <c r="C1271" t="s">
        <v>410</v>
      </c>
      <c r="D1271" t="s">
        <v>411</v>
      </c>
    </row>
    <row r="1272">
      <c r="A1272" t="s">
        <v>386</v>
      </c>
      <c r="B1272" t="s">
        <v>1128</v>
      </c>
      <c r="C1272" t="s">
        <v>410</v>
      </c>
      <c r="D1272" t="s">
        <v>411</v>
      </c>
    </row>
    <row r="1273">
      <c r="A1273" t="s">
        <v>386</v>
      </c>
      <c r="B1273" t="s">
        <v>1129</v>
      </c>
      <c r="C1273" t="s">
        <v>410</v>
      </c>
      <c r="D1273" t="s">
        <v>411</v>
      </c>
    </row>
    <row r="1274">
      <c r="A1274" t="s">
        <v>386</v>
      </c>
      <c r="B1274" t="s">
        <v>1130</v>
      </c>
      <c r="C1274" t="s">
        <v>410</v>
      </c>
      <c r="D1274" t="s">
        <v>411</v>
      </c>
    </row>
    <row r="1275">
      <c r="A1275" t="s">
        <v>386</v>
      </c>
      <c r="B1275" t="s">
        <v>1131</v>
      </c>
      <c r="C1275" t="s">
        <v>410</v>
      </c>
      <c r="D1275" t="s">
        <v>411</v>
      </c>
    </row>
    <row r="1276">
      <c r="A1276" t="s">
        <v>386</v>
      </c>
      <c r="B1276" t="s">
        <v>1132</v>
      </c>
      <c r="C1276" t="s">
        <v>410</v>
      </c>
      <c r="D1276" t="s">
        <v>411</v>
      </c>
    </row>
    <row r="1277">
      <c r="A1277" t="s">
        <v>386</v>
      </c>
      <c r="B1277" t="s">
        <v>1133</v>
      </c>
      <c r="C1277" t="s">
        <v>410</v>
      </c>
      <c r="D1277" t="s">
        <v>411</v>
      </c>
    </row>
    <row r="1278">
      <c r="A1278" t="s">
        <v>386</v>
      </c>
      <c r="B1278" t="s">
        <v>1134</v>
      </c>
      <c r="C1278" t="s">
        <v>410</v>
      </c>
      <c r="D1278" t="s">
        <v>411</v>
      </c>
    </row>
    <row r="1279">
      <c r="A1279" t="s">
        <v>386</v>
      </c>
      <c r="B1279" t="s">
        <v>1135</v>
      </c>
      <c r="C1279" t="s">
        <v>410</v>
      </c>
      <c r="D1279" t="s">
        <v>411</v>
      </c>
    </row>
    <row r="1280">
      <c r="A1280" t="s">
        <v>386</v>
      </c>
      <c r="B1280" t="s">
        <v>1136</v>
      </c>
      <c r="C1280" t="s">
        <v>410</v>
      </c>
      <c r="D1280" t="s">
        <v>411</v>
      </c>
    </row>
    <row r="1281">
      <c r="A1281" t="s">
        <v>386</v>
      </c>
      <c r="B1281" t="s">
        <v>956</v>
      </c>
      <c r="C1281" t="s">
        <v>410</v>
      </c>
      <c r="D1281" t="s">
        <v>411</v>
      </c>
    </row>
    <row r="1282">
      <c r="A1282" t="s">
        <v>386</v>
      </c>
      <c r="B1282" t="s">
        <v>1137</v>
      </c>
      <c r="C1282" t="s">
        <v>410</v>
      </c>
      <c r="D1282" t="s">
        <v>411</v>
      </c>
    </row>
    <row r="1283">
      <c r="A1283" t="s">
        <v>386</v>
      </c>
      <c r="B1283" t="s">
        <v>1138</v>
      </c>
      <c r="C1283" t="s">
        <v>410</v>
      </c>
      <c r="D1283" t="s">
        <v>411</v>
      </c>
    </row>
    <row r="1284">
      <c r="A1284" t="s">
        <v>386</v>
      </c>
      <c r="B1284" t="s">
        <v>1139</v>
      </c>
      <c r="C1284" t="s">
        <v>410</v>
      </c>
      <c r="D1284" t="s">
        <v>411</v>
      </c>
    </row>
    <row r="1285">
      <c r="A1285" t="s">
        <v>386</v>
      </c>
      <c r="B1285" t="s">
        <v>1140</v>
      </c>
      <c r="C1285" t="s">
        <v>410</v>
      </c>
      <c r="D1285" t="s">
        <v>411</v>
      </c>
    </row>
    <row r="1286">
      <c r="A1286" t="s">
        <v>386</v>
      </c>
      <c r="B1286" t="s">
        <v>957</v>
      </c>
      <c r="C1286" t="s">
        <v>410</v>
      </c>
      <c r="D1286" t="s">
        <v>411</v>
      </c>
    </row>
    <row r="1287">
      <c r="A1287" t="s">
        <v>386</v>
      </c>
      <c r="B1287" t="s">
        <v>1141</v>
      </c>
      <c r="C1287" t="s">
        <v>410</v>
      </c>
      <c r="D1287" t="s">
        <v>411</v>
      </c>
    </row>
    <row r="1288">
      <c r="A1288" t="s">
        <v>386</v>
      </c>
      <c r="B1288" t="s">
        <v>1142</v>
      </c>
      <c r="C1288" t="s">
        <v>410</v>
      </c>
      <c r="D1288" t="s">
        <v>411</v>
      </c>
    </row>
    <row r="1289">
      <c r="A1289" t="s">
        <v>386</v>
      </c>
      <c r="B1289" t="s">
        <v>1143</v>
      </c>
      <c r="C1289" t="s">
        <v>410</v>
      </c>
      <c r="D1289" t="s">
        <v>411</v>
      </c>
    </row>
    <row r="1290">
      <c r="A1290" t="s">
        <v>386</v>
      </c>
      <c r="B1290" t="s">
        <v>1144</v>
      </c>
      <c r="C1290" t="s">
        <v>410</v>
      </c>
      <c r="D1290" t="s">
        <v>411</v>
      </c>
    </row>
    <row r="1291">
      <c r="A1291" t="s">
        <v>386</v>
      </c>
      <c r="B1291" t="s">
        <v>1145</v>
      </c>
      <c r="C1291" t="s">
        <v>410</v>
      </c>
      <c r="D1291" t="s">
        <v>411</v>
      </c>
    </row>
    <row r="1292">
      <c r="A1292" t="s">
        <v>386</v>
      </c>
      <c r="B1292" t="s">
        <v>1146</v>
      </c>
      <c r="C1292" t="s">
        <v>410</v>
      </c>
      <c r="D1292" t="s">
        <v>411</v>
      </c>
    </row>
    <row r="1293">
      <c r="A1293" t="s">
        <v>386</v>
      </c>
      <c r="B1293" t="s">
        <v>1147</v>
      </c>
      <c r="C1293" t="s">
        <v>410</v>
      </c>
      <c r="D1293" t="s">
        <v>411</v>
      </c>
    </row>
    <row r="1294">
      <c r="A1294" t="s">
        <v>386</v>
      </c>
      <c r="B1294" t="s">
        <v>1148</v>
      </c>
      <c r="C1294" t="s">
        <v>410</v>
      </c>
      <c r="D1294" t="s">
        <v>411</v>
      </c>
    </row>
    <row r="1295">
      <c r="A1295" t="s">
        <v>386</v>
      </c>
      <c r="B1295" t="s">
        <v>1149</v>
      </c>
      <c r="C1295" t="s">
        <v>410</v>
      </c>
      <c r="D1295" t="s">
        <v>411</v>
      </c>
    </row>
    <row r="1296">
      <c r="A1296" t="s">
        <v>386</v>
      </c>
      <c r="B1296" t="s">
        <v>1150</v>
      </c>
      <c r="C1296" t="s">
        <v>410</v>
      </c>
      <c r="D1296" t="s">
        <v>411</v>
      </c>
    </row>
    <row r="1297">
      <c r="A1297" t="s">
        <v>386</v>
      </c>
      <c r="B1297" t="s">
        <v>1151</v>
      </c>
      <c r="C1297" t="s">
        <v>410</v>
      </c>
      <c r="D1297" t="s">
        <v>411</v>
      </c>
    </row>
    <row r="1298">
      <c r="A1298" t="s">
        <v>386</v>
      </c>
      <c r="B1298" t="s">
        <v>1152</v>
      </c>
      <c r="C1298" t="s">
        <v>410</v>
      </c>
      <c r="D1298" t="s">
        <v>411</v>
      </c>
    </row>
    <row r="1299">
      <c r="A1299" t="s">
        <v>386</v>
      </c>
      <c r="B1299" t="s">
        <v>1153</v>
      </c>
      <c r="C1299" t="s">
        <v>410</v>
      </c>
      <c r="D1299" t="s">
        <v>411</v>
      </c>
    </row>
    <row r="1300">
      <c r="A1300" t="s">
        <v>386</v>
      </c>
      <c r="B1300" t="s">
        <v>1154</v>
      </c>
      <c r="C1300" t="s">
        <v>410</v>
      </c>
      <c r="D1300" t="s">
        <v>411</v>
      </c>
    </row>
    <row r="1301">
      <c r="A1301" t="s">
        <v>386</v>
      </c>
      <c r="B1301" t="s">
        <v>1155</v>
      </c>
      <c r="C1301" t="s">
        <v>410</v>
      </c>
      <c r="D1301" t="s">
        <v>411</v>
      </c>
    </row>
    <row r="1302">
      <c r="A1302" t="s">
        <v>386</v>
      </c>
      <c r="B1302" t="s">
        <v>1156</v>
      </c>
      <c r="C1302" t="s">
        <v>410</v>
      </c>
      <c r="D1302" t="s">
        <v>411</v>
      </c>
    </row>
    <row r="1303">
      <c r="A1303" t="s">
        <v>386</v>
      </c>
      <c r="B1303" t="s">
        <v>1157</v>
      </c>
      <c r="C1303" t="s">
        <v>410</v>
      </c>
      <c r="D1303" t="s">
        <v>411</v>
      </c>
    </row>
    <row r="1304">
      <c r="A1304" t="s">
        <v>386</v>
      </c>
      <c r="B1304" t="s">
        <v>1158</v>
      </c>
      <c r="C1304" t="s">
        <v>410</v>
      </c>
      <c r="D1304" t="s">
        <v>411</v>
      </c>
    </row>
    <row r="1305">
      <c r="A1305" t="s">
        <v>386</v>
      </c>
      <c r="B1305" t="s">
        <v>1159</v>
      </c>
      <c r="C1305" t="s">
        <v>410</v>
      </c>
      <c r="D1305" t="s">
        <v>411</v>
      </c>
    </row>
    <row r="1306">
      <c r="A1306" t="s">
        <v>386</v>
      </c>
      <c r="B1306" t="s">
        <v>1160</v>
      </c>
      <c r="C1306" t="s">
        <v>410</v>
      </c>
      <c r="D1306" t="s">
        <v>411</v>
      </c>
    </row>
    <row r="1307">
      <c r="A1307" t="s">
        <v>386</v>
      </c>
      <c r="B1307" t="s">
        <v>1161</v>
      </c>
      <c r="C1307" t="s">
        <v>410</v>
      </c>
      <c r="D1307" t="s">
        <v>411</v>
      </c>
    </row>
    <row r="1308">
      <c r="A1308" t="s">
        <v>386</v>
      </c>
      <c r="B1308" t="s">
        <v>1162</v>
      </c>
      <c r="C1308" t="s">
        <v>410</v>
      </c>
      <c r="D1308" t="s">
        <v>411</v>
      </c>
    </row>
    <row r="1309">
      <c r="A1309" t="s">
        <v>386</v>
      </c>
      <c r="B1309" t="s">
        <v>1163</v>
      </c>
      <c r="C1309" t="s">
        <v>410</v>
      </c>
      <c r="D1309" t="s">
        <v>411</v>
      </c>
    </row>
    <row r="1310">
      <c r="A1310" t="s">
        <v>386</v>
      </c>
      <c r="B1310" t="s">
        <v>1164</v>
      </c>
      <c r="C1310" t="s">
        <v>410</v>
      </c>
      <c r="D1310" t="s">
        <v>411</v>
      </c>
    </row>
    <row r="1311">
      <c r="A1311" t="s">
        <v>386</v>
      </c>
      <c r="B1311" t="s">
        <v>1165</v>
      </c>
      <c r="C1311" t="s">
        <v>410</v>
      </c>
      <c r="D1311" t="s">
        <v>411</v>
      </c>
    </row>
    <row r="1312">
      <c r="A1312" t="s">
        <v>386</v>
      </c>
      <c r="B1312" t="s">
        <v>1045</v>
      </c>
      <c r="C1312" t="s">
        <v>410</v>
      </c>
      <c r="D1312" t="s">
        <v>411</v>
      </c>
    </row>
    <row r="1313">
      <c r="A1313" t="s">
        <v>386</v>
      </c>
      <c r="B1313" t="s">
        <v>1046</v>
      </c>
      <c r="C1313" t="s">
        <v>410</v>
      </c>
      <c r="D1313" t="s">
        <v>411</v>
      </c>
    </row>
    <row r="1314">
      <c r="A1314" t="s">
        <v>386</v>
      </c>
      <c r="B1314" t="s">
        <v>1047</v>
      </c>
      <c r="C1314" t="s">
        <v>410</v>
      </c>
      <c r="D1314" t="s">
        <v>411</v>
      </c>
    </row>
    <row r="1315">
      <c r="A1315" t="s">
        <v>386</v>
      </c>
      <c r="B1315" t="s">
        <v>1048</v>
      </c>
      <c r="C1315" t="s">
        <v>410</v>
      </c>
      <c r="D1315" t="s">
        <v>411</v>
      </c>
    </row>
    <row r="1316">
      <c r="A1316" t="s">
        <v>386</v>
      </c>
      <c r="B1316" t="s">
        <v>1049</v>
      </c>
      <c r="C1316" t="s">
        <v>410</v>
      </c>
      <c r="D1316" t="s">
        <v>411</v>
      </c>
    </row>
    <row r="1317">
      <c r="A1317" t="s">
        <v>386</v>
      </c>
      <c r="B1317" t="s">
        <v>1050</v>
      </c>
      <c r="C1317" t="s">
        <v>410</v>
      </c>
      <c r="D1317" t="s">
        <v>411</v>
      </c>
    </row>
    <row r="1318">
      <c r="A1318" t="s">
        <v>386</v>
      </c>
      <c r="B1318" t="s">
        <v>1051</v>
      </c>
      <c r="C1318" t="s">
        <v>410</v>
      </c>
      <c r="D1318" t="s">
        <v>411</v>
      </c>
    </row>
    <row r="1319">
      <c r="A1319" t="s">
        <v>386</v>
      </c>
      <c r="B1319" t="s">
        <v>1052</v>
      </c>
      <c r="C1319" t="s">
        <v>410</v>
      </c>
      <c r="D1319" t="s">
        <v>411</v>
      </c>
    </row>
    <row r="1320">
      <c r="A1320" t="s">
        <v>386</v>
      </c>
      <c r="B1320" t="s">
        <v>1053</v>
      </c>
      <c r="C1320" t="s">
        <v>410</v>
      </c>
      <c r="D1320" t="s">
        <v>411</v>
      </c>
    </row>
    <row r="1321">
      <c r="A1321" t="s">
        <v>386</v>
      </c>
      <c r="B1321" t="s">
        <v>1054</v>
      </c>
      <c r="C1321" t="s">
        <v>410</v>
      </c>
      <c r="D1321" t="s">
        <v>411</v>
      </c>
    </row>
    <row r="1322">
      <c r="A1322" t="s">
        <v>386</v>
      </c>
      <c r="B1322" t="s">
        <v>1055</v>
      </c>
      <c r="C1322" t="s">
        <v>410</v>
      </c>
      <c r="D1322" t="s">
        <v>411</v>
      </c>
    </row>
    <row r="1323">
      <c r="A1323" t="s">
        <v>386</v>
      </c>
      <c r="B1323" t="s">
        <v>1056</v>
      </c>
      <c r="C1323" t="s">
        <v>410</v>
      </c>
      <c r="D1323" t="s">
        <v>411</v>
      </c>
    </row>
    <row r="1324">
      <c r="A1324" t="s">
        <v>386</v>
      </c>
      <c r="B1324" t="s">
        <v>1057</v>
      </c>
      <c r="C1324" t="s">
        <v>410</v>
      </c>
      <c r="D1324" t="s">
        <v>411</v>
      </c>
    </row>
    <row r="1325">
      <c r="A1325" t="s">
        <v>386</v>
      </c>
      <c r="B1325" t="s">
        <v>1058</v>
      </c>
      <c r="C1325" t="s">
        <v>410</v>
      </c>
      <c r="D1325" t="s">
        <v>411</v>
      </c>
    </row>
    <row r="1326">
      <c r="A1326" t="s">
        <v>386</v>
      </c>
      <c r="B1326" t="s">
        <v>1059</v>
      </c>
      <c r="C1326" t="s">
        <v>410</v>
      </c>
      <c r="D1326" t="s">
        <v>411</v>
      </c>
    </row>
    <row r="1327">
      <c r="A1327" t="s">
        <v>386</v>
      </c>
      <c r="B1327" t="s">
        <v>1060</v>
      </c>
      <c r="C1327" t="s">
        <v>410</v>
      </c>
      <c r="D1327" t="s">
        <v>411</v>
      </c>
    </row>
    <row r="1328">
      <c r="A1328" t="s">
        <v>386</v>
      </c>
      <c r="B1328" t="s">
        <v>1061</v>
      </c>
      <c r="C1328" t="s">
        <v>410</v>
      </c>
      <c r="D1328" t="s">
        <v>411</v>
      </c>
    </row>
    <row r="1329">
      <c r="A1329" t="s">
        <v>386</v>
      </c>
      <c r="B1329" t="s">
        <v>1062</v>
      </c>
      <c r="C1329" t="s">
        <v>410</v>
      </c>
      <c r="D1329" t="s">
        <v>411</v>
      </c>
    </row>
    <row r="1330">
      <c r="A1330" t="s">
        <v>386</v>
      </c>
      <c r="B1330" t="s">
        <v>1063</v>
      </c>
      <c r="C1330" t="s">
        <v>410</v>
      </c>
      <c r="D1330" t="s">
        <v>411</v>
      </c>
    </row>
    <row r="1331">
      <c r="A1331" t="s">
        <v>386</v>
      </c>
      <c r="B1331" t="s">
        <v>1064</v>
      </c>
      <c r="C1331" t="s">
        <v>410</v>
      </c>
      <c r="D1331" t="s">
        <v>411</v>
      </c>
    </row>
    <row r="1332">
      <c r="A1332" t="s">
        <v>386</v>
      </c>
      <c r="B1332" t="s">
        <v>1065</v>
      </c>
      <c r="C1332" t="s">
        <v>410</v>
      </c>
      <c r="D1332" t="s">
        <v>411</v>
      </c>
    </row>
    <row r="1333">
      <c r="A1333" t="s">
        <v>386</v>
      </c>
      <c r="B1333" t="s">
        <v>1066</v>
      </c>
      <c r="C1333" t="s">
        <v>410</v>
      </c>
      <c r="D1333" t="s">
        <v>411</v>
      </c>
    </row>
    <row r="1334">
      <c r="A1334" t="s">
        <v>386</v>
      </c>
      <c r="B1334" t="s">
        <v>1067</v>
      </c>
      <c r="C1334" t="s">
        <v>410</v>
      </c>
      <c r="D1334" t="s">
        <v>411</v>
      </c>
    </row>
    <row r="1335">
      <c r="A1335" t="s">
        <v>386</v>
      </c>
      <c r="B1335" t="s">
        <v>1068</v>
      </c>
      <c r="C1335" t="s">
        <v>410</v>
      </c>
      <c r="D1335" t="s">
        <v>411</v>
      </c>
    </row>
    <row r="1336">
      <c r="A1336" t="s">
        <v>386</v>
      </c>
      <c r="B1336" t="s">
        <v>1069</v>
      </c>
      <c r="C1336" t="s">
        <v>410</v>
      </c>
      <c r="D1336" t="s">
        <v>411</v>
      </c>
    </row>
    <row r="1337">
      <c r="A1337" t="s">
        <v>386</v>
      </c>
      <c r="B1337" t="s">
        <v>951</v>
      </c>
      <c r="C1337" t="s">
        <v>410</v>
      </c>
      <c r="D1337" t="s">
        <v>411</v>
      </c>
    </row>
    <row r="1338">
      <c r="A1338" t="s">
        <v>386</v>
      </c>
      <c r="B1338" t="s">
        <v>1070</v>
      </c>
      <c r="C1338" t="s">
        <v>410</v>
      </c>
      <c r="D1338" t="s">
        <v>411</v>
      </c>
    </row>
    <row r="1339">
      <c r="A1339" t="s">
        <v>386</v>
      </c>
      <c r="B1339" t="s">
        <v>1071</v>
      </c>
      <c r="C1339" t="s">
        <v>410</v>
      </c>
      <c r="D1339" t="s">
        <v>411</v>
      </c>
    </row>
    <row r="1340">
      <c r="A1340" t="s">
        <v>386</v>
      </c>
      <c r="B1340" t="s">
        <v>1072</v>
      </c>
      <c r="C1340" t="s">
        <v>410</v>
      </c>
      <c r="D1340" t="s">
        <v>411</v>
      </c>
    </row>
    <row r="1341">
      <c r="A1341" t="s">
        <v>386</v>
      </c>
      <c r="B1341" t="s">
        <v>1073</v>
      </c>
      <c r="C1341" t="s">
        <v>410</v>
      </c>
      <c r="D1341" t="s">
        <v>411</v>
      </c>
    </row>
    <row r="1342">
      <c r="A1342" t="s">
        <v>386</v>
      </c>
      <c r="B1342" t="s">
        <v>1074</v>
      </c>
      <c r="C1342" t="s">
        <v>410</v>
      </c>
      <c r="D1342" t="s">
        <v>411</v>
      </c>
    </row>
    <row r="1343">
      <c r="A1343" t="s">
        <v>386</v>
      </c>
      <c r="B1343" t="s">
        <v>1075</v>
      </c>
      <c r="C1343" t="s">
        <v>410</v>
      </c>
      <c r="D1343" t="s">
        <v>411</v>
      </c>
    </row>
    <row r="1344">
      <c r="A1344" t="s">
        <v>386</v>
      </c>
      <c r="B1344" t="s">
        <v>1076</v>
      </c>
      <c r="C1344" t="s">
        <v>410</v>
      </c>
      <c r="D1344" t="s">
        <v>411</v>
      </c>
    </row>
    <row r="1345">
      <c r="A1345" t="s">
        <v>386</v>
      </c>
      <c r="B1345" t="s">
        <v>1077</v>
      </c>
      <c r="C1345" t="s">
        <v>410</v>
      </c>
      <c r="D1345" t="s">
        <v>411</v>
      </c>
    </row>
    <row r="1346">
      <c r="A1346" t="s">
        <v>386</v>
      </c>
      <c r="B1346" t="s">
        <v>1078</v>
      </c>
      <c r="C1346" t="s">
        <v>410</v>
      </c>
      <c r="D1346" t="s">
        <v>411</v>
      </c>
    </row>
    <row r="1347">
      <c r="A1347" t="s">
        <v>386</v>
      </c>
      <c r="B1347" t="s">
        <v>952</v>
      </c>
      <c r="C1347" t="s">
        <v>410</v>
      </c>
      <c r="D1347" t="s">
        <v>411</v>
      </c>
    </row>
    <row r="1348">
      <c r="A1348" t="s">
        <v>386</v>
      </c>
      <c r="B1348" t="s">
        <v>1079</v>
      </c>
      <c r="C1348" t="s">
        <v>410</v>
      </c>
      <c r="D1348" t="s">
        <v>411</v>
      </c>
    </row>
    <row r="1349">
      <c r="A1349" t="s">
        <v>386</v>
      </c>
      <c r="B1349" t="s">
        <v>1080</v>
      </c>
      <c r="C1349" t="s">
        <v>410</v>
      </c>
      <c r="D1349" t="s">
        <v>411</v>
      </c>
    </row>
    <row r="1350">
      <c r="A1350" t="s">
        <v>386</v>
      </c>
      <c r="B1350" t="s">
        <v>1081</v>
      </c>
      <c r="C1350" t="s">
        <v>410</v>
      </c>
      <c r="D1350" t="s">
        <v>411</v>
      </c>
    </row>
    <row r="1351">
      <c r="A1351" t="s">
        <v>386</v>
      </c>
      <c r="B1351" t="s">
        <v>1082</v>
      </c>
      <c r="C1351" t="s">
        <v>410</v>
      </c>
      <c r="D1351" t="s">
        <v>411</v>
      </c>
    </row>
    <row r="1352">
      <c r="A1352" t="s">
        <v>386</v>
      </c>
      <c r="B1352" t="s">
        <v>1083</v>
      </c>
      <c r="C1352" t="s">
        <v>410</v>
      </c>
      <c r="D1352" t="s">
        <v>411</v>
      </c>
    </row>
    <row r="1353">
      <c r="A1353" t="s">
        <v>386</v>
      </c>
      <c r="B1353" t="s">
        <v>1084</v>
      </c>
      <c r="C1353" t="s">
        <v>410</v>
      </c>
      <c r="D1353" t="s">
        <v>411</v>
      </c>
    </row>
    <row r="1354">
      <c r="A1354" t="s">
        <v>386</v>
      </c>
      <c r="B1354" t="s">
        <v>1085</v>
      </c>
      <c r="C1354" t="s">
        <v>410</v>
      </c>
      <c r="D1354" t="s">
        <v>411</v>
      </c>
    </row>
    <row r="1355">
      <c r="A1355" t="s">
        <v>386</v>
      </c>
      <c r="B1355" t="s">
        <v>1086</v>
      </c>
      <c r="C1355" t="s">
        <v>410</v>
      </c>
      <c r="D1355" t="s">
        <v>411</v>
      </c>
    </row>
    <row r="1356">
      <c r="A1356" t="s">
        <v>386</v>
      </c>
      <c r="B1356" t="s">
        <v>1087</v>
      </c>
      <c r="C1356" t="s">
        <v>410</v>
      </c>
      <c r="D1356" t="s">
        <v>411</v>
      </c>
    </row>
    <row r="1357">
      <c r="A1357" t="s">
        <v>386</v>
      </c>
      <c r="B1357" t="s">
        <v>1088</v>
      </c>
      <c r="C1357" t="s">
        <v>410</v>
      </c>
      <c r="D1357" t="s">
        <v>411</v>
      </c>
    </row>
    <row r="1358">
      <c r="A1358" t="s">
        <v>386</v>
      </c>
      <c r="B1358" t="s">
        <v>1089</v>
      </c>
      <c r="C1358" t="s">
        <v>410</v>
      </c>
      <c r="D1358" t="s">
        <v>411</v>
      </c>
    </row>
    <row r="1359">
      <c r="A1359" t="s">
        <v>386</v>
      </c>
      <c r="B1359" t="s">
        <v>1090</v>
      </c>
      <c r="C1359" t="s">
        <v>410</v>
      </c>
      <c r="D1359" t="s">
        <v>411</v>
      </c>
    </row>
    <row r="1360">
      <c r="A1360" t="s">
        <v>386</v>
      </c>
      <c r="B1360" t="s">
        <v>1091</v>
      </c>
      <c r="C1360" t="s">
        <v>410</v>
      </c>
      <c r="D1360" t="s">
        <v>411</v>
      </c>
    </row>
    <row r="1361">
      <c r="A1361" t="s">
        <v>386</v>
      </c>
      <c r="B1361" t="s">
        <v>1092</v>
      </c>
      <c r="C1361" t="s">
        <v>410</v>
      </c>
      <c r="D1361" t="s">
        <v>411</v>
      </c>
    </row>
    <row r="1362">
      <c r="A1362" t="s">
        <v>386</v>
      </c>
      <c r="B1362" t="s">
        <v>1093</v>
      </c>
      <c r="C1362" t="s">
        <v>410</v>
      </c>
      <c r="D1362" t="s">
        <v>411</v>
      </c>
    </row>
    <row r="1363">
      <c r="A1363" t="s">
        <v>386</v>
      </c>
      <c r="B1363" t="s">
        <v>1094</v>
      </c>
      <c r="C1363" t="s">
        <v>410</v>
      </c>
      <c r="D1363" t="s">
        <v>411</v>
      </c>
    </row>
    <row r="1364">
      <c r="A1364" t="s">
        <v>386</v>
      </c>
      <c r="B1364" t="s">
        <v>1095</v>
      </c>
      <c r="C1364" t="s">
        <v>410</v>
      </c>
      <c r="D1364" t="s">
        <v>411</v>
      </c>
    </row>
    <row r="1365">
      <c r="A1365" t="s">
        <v>386</v>
      </c>
      <c r="B1365" t="s">
        <v>1096</v>
      </c>
      <c r="C1365" t="s">
        <v>410</v>
      </c>
      <c r="D1365" t="s">
        <v>411</v>
      </c>
    </row>
    <row r="1366">
      <c r="A1366" t="s">
        <v>386</v>
      </c>
      <c r="B1366" t="s">
        <v>1097</v>
      </c>
      <c r="C1366" t="s">
        <v>410</v>
      </c>
      <c r="D1366" t="s">
        <v>411</v>
      </c>
    </row>
    <row r="1367">
      <c r="A1367" t="s">
        <v>386</v>
      </c>
      <c r="B1367" t="s">
        <v>953</v>
      </c>
      <c r="C1367" t="s">
        <v>410</v>
      </c>
      <c r="D1367" t="s">
        <v>411</v>
      </c>
    </row>
    <row r="1368">
      <c r="A1368" t="s">
        <v>386</v>
      </c>
      <c r="B1368" t="s">
        <v>1098</v>
      </c>
      <c r="C1368" t="s">
        <v>410</v>
      </c>
      <c r="D1368" t="s">
        <v>411</v>
      </c>
    </row>
    <row r="1369">
      <c r="A1369" t="s">
        <v>386</v>
      </c>
      <c r="B1369" t="s">
        <v>1099</v>
      </c>
      <c r="C1369" t="s">
        <v>410</v>
      </c>
      <c r="D1369" t="s">
        <v>411</v>
      </c>
    </row>
    <row r="1370">
      <c r="A1370" t="s">
        <v>386</v>
      </c>
      <c r="B1370" t="s">
        <v>954</v>
      </c>
      <c r="C1370" t="s">
        <v>410</v>
      </c>
      <c r="D1370" t="s">
        <v>411</v>
      </c>
    </row>
    <row r="1371">
      <c r="A1371" t="s">
        <v>386</v>
      </c>
      <c r="B1371" t="s">
        <v>1100</v>
      </c>
      <c r="C1371" t="s">
        <v>410</v>
      </c>
      <c r="D1371" t="s">
        <v>411</v>
      </c>
    </row>
    <row r="1372">
      <c r="A1372" t="s">
        <v>386</v>
      </c>
      <c r="B1372" t="s">
        <v>1101</v>
      </c>
      <c r="C1372" t="s">
        <v>410</v>
      </c>
      <c r="D1372" t="s">
        <v>411</v>
      </c>
    </row>
    <row r="1373">
      <c r="A1373" t="s">
        <v>386</v>
      </c>
      <c r="B1373" t="s">
        <v>1102</v>
      </c>
      <c r="C1373" t="s">
        <v>410</v>
      </c>
      <c r="D1373" t="s">
        <v>411</v>
      </c>
    </row>
    <row r="1374">
      <c r="A1374" t="s">
        <v>386</v>
      </c>
      <c r="B1374" t="s">
        <v>1103</v>
      </c>
      <c r="C1374" t="s">
        <v>410</v>
      </c>
      <c r="D1374" t="s">
        <v>411</v>
      </c>
    </row>
    <row r="1375">
      <c r="A1375" t="s">
        <v>386</v>
      </c>
      <c r="B1375" t="s">
        <v>1104</v>
      </c>
      <c r="C1375" t="s">
        <v>410</v>
      </c>
      <c r="D1375" t="s">
        <v>411</v>
      </c>
    </row>
    <row r="1376">
      <c r="A1376" t="s">
        <v>386</v>
      </c>
      <c r="B1376" t="s">
        <v>972</v>
      </c>
      <c r="C1376" t="s">
        <v>410</v>
      </c>
      <c r="D1376" t="s">
        <v>411</v>
      </c>
    </row>
    <row r="1377">
      <c r="A1377" t="s">
        <v>386</v>
      </c>
      <c r="B1377" t="s">
        <v>974</v>
      </c>
      <c r="C1377" t="s">
        <v>410</v>
      </c>
      <c r="D1377" t="s">
        <v>411</v>
      </c>
    </row>
    <row r="1378">
      <c r="A1378" t="s">
        <v>386</v>
      </c>
      <c r="B1378" t="s">
        <v>975</v>
      </c>
      <c r="C1378" t="s">
        <v>410</v>
      </c>
      <c r="D1378" t="s">
        <v>411</v>
      </c>
    </row>
    <row r="1379">
      <c r="A1379" t="s">
        <v>386</v>
      </c>
      <c r="B1379" t="s">
        <v>979</v>
      </c>
      <c r="C1379" t="s">
        <v>410</v>
      </c>
      <c r="D1379" t="s">
        <v>411</v>
      </c>
    </row>
    <row r="1380">
      <c r="A1380" t="s">
        <v>386</v>
      </c>
      <c r="B1380" t="s">
        <v>977</v>
      </c>
      <c r="C1380" t="s">
        <v>410</v>
      </c>
      <c r="D1380" t="s">
        <v>411</v>
      </c>
    </row>
    <row r="1381">
      <c r="A1381" t="s">
        <v>386</v>
      </c>
      <c r="B1381" t="s">
        <v>1033</v>
      </c>
      <c r="C1381" t="s">
        <v>410</v>
      </c>
      <c r="D1381" t="s">
        <v>411</v>
      </c>
    </row>
    <row r="1382">
      <c r="A1382" t="s">
        <v>386</v>
      </c>
      <c r="B1382" t="s">
        <v>1034</v>
      </c>
      <c r="C1382" t="s">
        <v>410</v>
      </c>
      <c r="D1382" t="s">
        <v>411</v>
      </c>
    </row>
    <row r="1383">
      <c r="A1383" t="s">
        <v>386</v>
      </c>
      <c r="B1383" t="s">
        <v>973</v>
      </c>
      <c r="C1383" t="s">
        <v>496</v>
      </c>
      <c r="D1383" t="s">
        <v>411</v>
      </c>
    </row>
    <row r="1384">
      <c r="A1384" t="s">
        <v>386</v>
      </c>
      <c r="B1384" t="s">
        <v>1035</v>
      </c>
      <c r="C1384" t="s">
        <v>410</v>
      </c>
      <c r="D1384" t="s">
        <v>411</v>
      </c>
    </row>
    <row r="1385">
      <c r="A1385" t="s">
        <v>386</v>
      </c>
      <c r="B1385" t="s">
        <v>1036</v>
      </c>
      <c r="C1385" t="s">
        <v>410</v>
      </c>
      <c r="D1385" t="s">
        <v>411</v>
      </c>
    </row>
    <row r="1386">
      <c r="A1386" t="s">
        <v>386</v>
      </c>
      <c r="B1386" t="s">
        <v>1037</v>
      </c>
      <c r="C1386" t="s">
        <v>410</v>
      </c>
      <c r="D1386" t="s">
        <v>411</v>
      </c>
    </row>
    <row r="1387">
      <c r="A1387" t="s">
        <v>386</v>
      </c>
      <c r="B1387" t="s">
        <v>1038</v>
      </c>
      <c r="C1387" t="s">
        <v>410</v>
      </c>
      <c r="D1387" t="s">
        <v>411</v>
      </c>
    </row>
    <row r="1388">
      <c r="A1388" t="s">
        <v>386</v>
      </c>
      <c r="B1388" t="s">
        <v>1039</v>
      </c>
      <c r="C1388" t="s">
        <v>410</v>
      </c>
      <c r="D1388" t="s">
        <v>411</v>
      </c>
    </row>
    <row r="1389">
      <c r="A1389" t="s">
        <v>386</v>
      </c>
      <c r="B1389" t="s">
        <v>1040</v>
      </c>
      <c r="C1389" t="s">
        <v>410</v>
      </c>
      <c r="D1389" t="s">
        <v>411</v>
      </c>
    </row>
    <row r="1390">
      <c r="A1390" t="s">
        <v>386</v>
      </c>
      <c r="B1390" t="s">
        <v>949</v>
      </c>
      <c r="C1390" t="s">
        <v>410</v>
      </c>
      <c r="D1390" t="s">
        <v>411</v>
      </c>
    </row>
    <row r="1391">
      <c r="A1391" t="s">
        <v>386</v>
      </c>
      <c r="B1391" t="s">
        <v>1041</v>
      </c>
      <c r="C1391" t="s">
        <v>410</v>
      </c>
      <c r="D1391" t="s">
        <v>411</v>
      </c>
    </row>
    <row r="1392">
      <c r="A1392" t="s">
        <v>386</v>
      </c>
      <c r="B1392" t="s">
        <v>1042</v>
      </c>
      <c r="C1392" t="s">
        <v>410</v>
      </c>
      <c r="D1392" t="s">
        <v>411</v>
      </c>
    </row>
    <row r="1393">
      <c r="A1393" t="s">
        <v>386</v>
      </c>
      <c r="B1393" t="s">
        <v>1043</v>
      </c>
      <c r="C1393" t="s">
        <v>410</v>
      </c>
      <c r="D1393" t="s">
        <v>411</v>
      </c>
    </row>
    <row r="1394">
      <c r="A1394" t="s">
        <v>386</v>
      </c>
      <c r="B1394" t="s">
        <v>1044</v>
      </c>
      <c r="C1394" t="s">
        <v>410</v>
      </c>
      <c r="D1394" t="s">
        <v>411</v>
      </c>
    </row>
    <row r="1395">
      <c r="A1395" t="s">
        <v>386</v>
      </c>
      <c r="B1395" t="s">
        <v>950</v>
      </c>
      <c r="C1395" t="s">
        <v>410</v>
      </c>
      <c r="D1395" t="s">
        <v>411</v>
      </c>
    </row>
    <row r="1396">
      <c r="A1396" t="s">
        <v>388</v>
      </c>
      <c r="B1396" t="s">
        <v>1244</v>
      </c>
      <c r="C1396" t="s">
        <v>407</v>
      </c>
      <c r="D1396" t="s">
        <v>408</v>
      </c>
    </row>
    <row r="1397">
      <c r="A1397" t="s">
        <v>388</v>
      </c>
      <c r="B1397" t="s">
        <v>1245</v>
      </c>
      <c r="C1397" t="s">
        <v>407</v>
      </c>
      <c r="D1397" t="s">
        <v>408</v>
      </c>
    </row>
    <row r="1398">
      <c r="A1398" t="s">
        <v>388</v>
      </c>
      <c r="B1398" t="s">
        <v>1246</v>
      </c>
      <c r="C1398" t="s">
        <v>407</v>
      </c>
      <c r="D1398" t="s">
        <v>408</v>
      </c>
    </row>
    <row r="1399">
      <c r="A1399" t="s">
        <v>388</v>
      </c>
      <c r="B1399" t="s">
        <v>1247</v>
      </c>
      <c r="C1399" t="s">
        <v>407</v>
      </c>
      <c r="D1399" t="s">
        <v>408</v>
      </c>
    </row>
    <row r="1400">
      <c r="A1400" t="s">
        <v>388</v>
      </c>
      <c r="B1400" t="s">
        <v>1248</v>
      </c>
      <c r="C1400" t="s">
        <v>407</v>
      </c>
      <c r="D1400" t="s">
        <v>408</v>
      </c>
    </row>
    <row r="1401">
      <c r="A1401" t="s">
        <v>391</v>
      </c>
      <c r="B1401" t="s">
        <v>1245</v>
      </c>
      <c r="C1401" t="s">
        <v>407</v>
      </c>
      <c r="D1401" t="s">
        <v>408</v>
      </c>
    </row>
    <row r="1402">
      <c r="A1402" t="s">
        <v>391</v>
      </c>
      <c r="B1402" t="s">
        <v>1246</v>
      </c>
      <c r="C1402" t="s">
        <v>407</v>
      </c>
      <c r="D1402" t="s">
        <v>408</v>
      </c>
    </row>
    <row r="1403">
      <c r="A1403" t="s">
        <v>391</v>
      </c>
      <c r="B1403" t="s">
        <v>1247</v>
      </c>
      <c r="C1403" t="s">
        <v>407</v>
      </c>
      <c r="D1403" t="s">
        <v>408</v>
      </c>
    </row>
    <row r="1404">
      <c r="A1404" t="s">
        <v>391</v>
      </c>
      <c r="B1404" t="s">
        <v>1248</v>
      </c>
      <c r="C1404" t="s">
        <v>407</v>
      </c>
      <c r="D1404" t="s">
        <v>408</v>
      </c>
    </row>
    <row r="1405">
      <c r="A1405" t="s">
        <v>391</v>
      </c>
      <c r="B1405" t="s">
        <v>1251</v>
      </c>
      <c r="C1405" t="s">
        <v>700</v>
      </c>
      <c r="D1405" t="s">
        <v>408</v>
      </c>
    </row>
    <row r="1406">
      <c r="A1406" t="s">
        <v>391</v>
      </c>
      <c r="B1406" t="s">
        <v>1252</v>
      </c>
      <c r="C1406" t="s">
        <v>700</v>
      </c>
      <c r="D1406" t="s">
        <v>408</v>
      </c>
    </row>
    <row r="1407">
      <c r="A1407" t="s">
        <v>391</v>
      </c>
      <c r="B1407" t="s">
        <v>1253</v>
      </c>
      <c r="C1407" t="s">
        <v>700</v>
      </c>
      <c r="D1407" t="s">
        <v>408</v>
      </c>
    </row>
    <row r="1408">
      <c r="A1408" t="s">
        <v>391</v>
      </c>
      <c r="B1408" t="s">
        <v>1244</v>
      </c>
      <c r="C1408" t="s">
        <v>407</v>
      </c>
      <c r="D1408" t="s">
        <v>408</v>
      </c>
    </row>
    <row r="1409">
      <c r="A1409" t="s">
        <v>391</v>
      </c>
      <c r="B1409" t="s">
        <v>1254</v>
      </c>
      <c r="C1409" t="s">
        <v>700</v>
      </c>
      <c r="D1409" t="s">
        <v>408</v>
      </c>
    </row>
    <row r="1410">
      <c r="A1410" t="s">
        <v>391</v>
      </c>
      <c r="B1410" t="s">
        <v>1255</v>
      </c>
      <c r="C1410" t="s">
        <v>700</v>
      </c>
      <c r="D1410" t="s">
        <v>408</v>
      </c>
    </row>
    <row r="1411">
      <c r="A1411" t="s">
        <v>391</v>
      </c>
      <c r="B1411" t="s">
        <v>1256</v>
      </c>
      <c r="C1411" t="s">
        <v>700</v>
      </c>
      <c r="D1411" t="s">
        <v>408</v>
      </c>
    </row>
    <row r="1412">
      <c r="A1412" t="s">
        <v>391</v>
      </c>
      <c r="B1412" t="s">
        <v>1257</v>
      </c>
      <c r="C1412" t="s">
        <v>700</v>
      </c>
      <c r="D1412" t="s">
        <v>408</v>
      </c>
    </row>
    <row r="1413">
      <c r="A1413" t="s">
        <v>391</v>
      </c>
      <c r="B1413" t="s">
        <v>1258</v>
      </c>
      <c r="C1413" t="s">
        <v>700</v>
      </c>
      <c r="D1413" t="s">
        <v>408</v>
      </c>
    </row>
    <row r="1414">
      <c r="A1414" t="s">
        <v>393</v>
      </c>
      <c r="B1414" t="s">
        <v>1259</v>
      </c>
      <c r="C1414" t="s">
        <v>419</v>
      </c>
      <c r="D1414" t="s">
        <v>411</v>
      </c>
    </row>
    <row r="1415">
      <c r="A1415" t="s">
        <v>393</v>
      </c>
      <c r="B1415" t="s">
        <v>1260</v>
      </c>
      <c r="C1415" t="s">
        <v>419</v>
      </c>
      <c r="D1415" t="s">
        <v>411</v>
      </c>
    </row>
    <row r="1416">
      <c r="A1416" t="s">
        <v>393</v>
      </c>
      <c r="B1416" t="s">
        <v>1261</v>
      </c>
      <c r="C1416" t="s">
        <v>419</v>
      </c>
      <c r="D1416" t="s">
        <v>411</v>
      </c>
    </row>
    <row r="1417">
      <c r="A1417" t="s">
        <v>393</v>
      </c>
      <c r="B1417" t="s">
        <v>1262</v>
      </c>
      <c r="C1417" t="s">
        <v>419</v>
      </c>
      <c r="D1417" t="s">
        <v>411</v>
      </c>
    </row>
    <row r="1418">
      <c r="A1418" t="s">
        <v>393</v>
      </c>
      <c r="B1418" t="s">
        <v>1263</v>
      </c>
      <c r="C1418" t="s">
        <v>473</v>
      </c>
      <c r="D1418" t="s">
        <v>411</v>
      </c>
    </row>
    <row r="1419">
      <c r="A1419" t="s">
        <v>393</v>
      </c>
      <c r="B1419" t="s">
        <v>1264</v>
      </c>
      <c r="C1419" t="s">
        <v>473</v>
      </c>
      <c r="D1419" t="s">
        <v>411</v>
      </c>
    </row>
    <row r="1420">
      <c r="A1420" t="s">
        <v>393</v>
      </c>
      <c r="B1420" t="s">
        <v>1265</v>
      </c>
      <c r="C1420" t="s">
        <v>473</v>
      </c>
      <c r="D1420" t="s">
        <v>411</v>
      </c>
    </row>
    <row r="1421">
      <c r="A1421" t="s">
        <v>393</v>
      </c>
      <c r="B1421" t="s">
        <v>1266</v>
      </c>
      <c r="C1421" t="s">
        <v>473</v>
      </c>
      <c r="D1421" t="s">
        <v>411</v>
      </c>
    </row>
    <row r="1422">
      <c r="A1422" t="s">
        <v>393</v>
      </c>
      <c r="B1422" t="s">
        <v>1267</v>
      </c>
      <c r="C1422" t="s">
        <v>473</v>
      </c>
      <c r="D1422" t="s">
        <v>411</v>
      </c>
    </row>
    <row r="1423">
      <c r="A1423" t="s">
        <v>393</v>
      </c>
      <c r="B1423" t="s">
        <v>1268</v>
      </c>
      <c r="C1423" t="s">
        <v>473</v>
      </c>
      <c r="D1423" t="s">
        <v>411</v>
      </c>
    </row>
    <row r="1424">
      <c r="A1424" t="s">
        <v>393</v>
      </c>
      <c r="B1424" t="s">
        <v>1269</v>
      </c>
      <c r="C1424" t="s">
        <v>473</v>
      </c>
      <c r="D1424" t="s">
        <v>411</v>
      </c>
    </row>
    <row r="1425">
      <c r="A1425" t="s">
        <v>393</v>
      </c>
      <c r="B1425" t="s">
        <v>1270</v>
      </c>
      <c r="C1425" t="s">
        <v>473</v>
      </c>
      <c r="D1425" t="s">
        <v>411</v>
      </c>
    </row>
    <row r="1426">
      <c r="A1426" t="s">
        <v>393</v>
      </c>
      <c r="B1426" t="s">
        <v>1271</v>
      </c>
      <c r="C1426" t="s">
        <v>473</v>
      </c>
      <c r="D1426" t="s">
        <v>411</v>
      </c>
    </row>
    <row r="1427">
      <c r="A1427" t="s">
        <v>393</v>
      </c>
      <c r="B1427" t="s">
        <v>1272</v>
      </c>
      <c r="C1427" t="s">
        <v>473</v>
      </c>
      <c r="D1427" t="s">
        <v>411</v>
      </c>
    </row>
    <row r="1428">
      <c r="A1428" t="s">
        <v>393</v>
      </c>
      <c r="B1428" t="s">
        <v>899</v>
      </c>
      <c r="C1428" t="s">
        <v>473</v>
      </c>
      <c r="D1428" t="s">
        <v>411</v>
      </c>
    </row>
    <row r="1429">
      <c r="A1429" t="s">
        <v>393</v>
      </c>
      <c r="B1429" t="s">
        <v>836</v>
      </c>
      <c r="C1429" t="s">
        <v>487</v>
      </c>
      <c r="D1429" t="s">
        <v>411</v>
      </c>
    </row>
    <row r="1430">
      <c r="A1430" t="s">
        <v>393</v>
      </c>
      <c r="B1430" t="s">
        <v>900</v>
      </c>
      <c r="C1430" t="s">
        <v>489</v>
      </c>
      <c r="D1430" t="s">
        <v>411</v>
      </c>
    </row>
    <row r="1431">
      <c r="A1431" t="s">
        <v>393</v>
      </c>
      <c r="B1431" t="s">
        <v>1015</v>
      </c>
      <c r="C1431" t="s">
        <v>473</v>
      </c>
      <c r="D1431" t="s">
        <v>411</v>
      </c>
    </row>
    <row r="1432">
      <c r="A1432" t="s">
        <v>393</v>
      </c>
      <c r="B1432" t="s">
        <v>857</v>
      </c>
      <c r="C1432" t="s">
        <v>496</v>
      </c>
      <c r="D1432" t="s">
        <v>411</v>
      </c>
    </row>
    <row r="1433">
      <c r="A1433" t="s">
        <v>393</v>
      </c>
      <c r="B1433" t="s">
        <v>1020</v>
      </c>
      <c r="C1433" t="s">
        <v>410</v>
      </c>
      <c r="D1433" t="s">
        <v>411</v>
      </c>
    </row>
    <row r="1434">
      <c r="A1434" t="s">
        <v>393</v>
      </c>
      <c r="B1434" t="s">
        <v>1021</v>
      </c>
      <c r="C1434" t="s">
        <v>410</v>
      </c>
      <c r="D1434" t="s">
        <v>411</v>
      </c>
    </row>
    <row r="1435">
      <c r="A1435" t="s">
        <v>393</v>
      </c>
      <c r="B1435" t="s">
        <v>1022</v>
      </c>
      <c r="C1435" t="s">
        <v>410</v>
      </c>
      <c r="D1435" t="s">
        <v>411</v>
      </c>
    </row>
    <row r="1436">
      <c r="A1436" t="s">
        <v>393</v>
      </c>
      <c r="B1436" t="s">
        <v>1023</v>
      </c>
      <c r="C1436" t="s">
        <v>410</v>
      </c>
      <c r="D1436" t="s">
        <v>411</v>
      </c>
    </row>
    <row r="1437">
      <c r="A1437" t="s">
        <v>393</v>
      </c>
      <c r="B1437" t="s">
        <v>1024</v>
      </c>
      <c r="C1437" t="s">
        <v>410</v>
      </c>
      <c r="D1437" t="s">
        <v>411</v>
      </c>
    </row>
    <row r="1438">
      <c r="A1438" t="s">
        <v>393</v>
      </c>
      <c r="B1438" t="s">
        <v>996</v>
      </c>
      <c r="C1438" t="s">
        <v>410</v>
      </c>
      <c r="D1438" t="s">
        <v>411</v>
      </c>
    </row>
    <row r="1439">
      <c r="A1439" t="s">
        <v>393</v>
      </c>
      <c r="B1439" t="s">
        <v>853</v>
      </c>
      <c r="C1439" t="s">
        <v>496</v>
      </c>
      <c r="D1439" t="s">
        <v>411</v>
      </c>
    </row>
    <row r="1440">
      <c r="A1440" t="s">
        <v>393</v>
      </c>
      <c r="B1440" t="s">
        <v>1273</v>
      </c>
      <c r="C1440" t="s">
        <v>505</v>
      </c>
      <c r="D1440" t="s">
        <v>411</v>
      </c>
    </row>
    <row r="1441">
      <c r="A1441" t="s">
        <v>393</v>
      </c>
      <c r="B1441" t="s">
        <v>506</v>
      </c>
      <c r="C1441" t="s">
        <v>507</v>
      </c>
      <c r="D1441" t="s">
        <v>408</v>
      </c>
    </row>
    <row r="1442">
      <c r="A1442" t="s">
        <v>393</v>
      </c>
      <c r="B1442" t="s">
        <v>509</v>
      </c>
      <c r="C1442" t="s">
        <v>507</v>
      </c>
      <c r="D1442" t="s">
        <v>408</v>
      </c>
    </row>
    <row r="1443">
      <c r="A1443" t="s">
        <v>393</v>
      </c>
      <c r="B1443" t="s">
        <v>1274</v>
      </c>
      <c r="C1443" t="s">
        <v>419</v>
      </c>
      <c r="D1443" t="s">
        <v>411</v>
      </c>
    </row>
    <row r="1444">
      <c r="A1444" t="s">
        <v>393</v>
      </c>
      <c r="B1444" t="s">
        <v>870</v>
      </c>
      <c r="C1444" t="s">
        <v>413</v>
      </c>
      <c r="D1444" t="s">
        <v>411</v>
      </c>
    </row>
    <row r="1445">
      <c r="A1445" t="s">
        <v>393</v>
      </c>
      <c r="B1445" t="s">
        <v>1275</v>
      </c>
      <c r="C1445" t="s">
        <v>419</v>
      </c>
      <c r="D1445" t="s">
        <v>411</v>
      </c>
    </row>
    <row r="1446">
      <c r="A1446" t="s">
        <v>393</v>
      </c>
      <c r="B1446" t="s">
        <v>913</v>
      </c>
      <c r="C1446" t="s">
        <v>417</v>
      </c>
      <c r="D1446" t="s">
        <v>411</v>
      </c>
    </row>
    <row r="1447">
      <c r="A1447" t="s">
        <v>393</v>
      </c>
      <c r="B1447" t="s">
        <v>883</v>
      </c>
      <c r="C1447" t="s">
        <v>413</v>
      </c>
      <c r="D1447" t="s">
        <v>411</v>
      </c>
    </row>
    <row r="1448">
      <c r="A1448" t="s">
        <v>395</v>
      </c>
      <c r="B1448" t="s">
        <v>470</v>
      </c>
      <c r="C1448" t="s">
        <v>471</v>
      </c>
      <c r="D1448" t="s">
        <v>408</v>
      </c>
    </row>
    <row r="1449">
      <c r="A1449" t="s">
        <v>395</v>
      </c>
      <c r="B1449" t="s">
        <v>468</v>
      </c>
      <c r="C1449" t="s">
        <v>469</v>
      </c>
      <c r="D1449" t="s">
        <v>408</v>
      </c>
    </row>
    <row r="1450">
      <c r="A1450" t="s">
        <v>397</v>
      </c>
      <c r="B1450" t="s">
        <v>866</v>
      </c>
      <c r="C1450" t="s">
        <v>410</v>
      </c>
      <c r="D1450" t="s">
        <v>411</v>
      </c>
    </row>
    <row r="1451">
      <c r="A1451" t="s">
        <v>397</v>
      </c>
      <c r="B1451" t="s">
        <v>867</v>
      </c>
      <c r="C1451" t="s">
        <v>410</v>
      </c>
      <c r="D1451" t="s">
        <v>411</v>
      </c>
    </row>
    <row r="1452">
      <c r="A1452" t="s">
        <v>397</v>
      </c>
      <c r="B1452" t="s">
        <v>868</v>
      </c>
      <c r="C1452" t="s">
        <v>410</v>
      </c>
      <c r="D1452" t="s">
        <v>411</v>
      </c>
    </row>
    <row r="1453">
      <c r="A1453" t="s">
        <v>397</v>
      </c>
      <c r="B1453" t="s">
        <v>869</v>
      </c>
      <c r="C1453" t="s">
        <v>413</v>
      </c>
      <c r="D1453" t="s">
        <v>411</v>
      </c>
    </row>
    <row r="1454">
      <c r="A1454" t="s">
        <v>397</v>
      </c>
      <c r="B1454" t="s">
        <v>872</v>
      </c>
      <c r="C1454" t="s">
        <v>413</v>
      </c>
      <c r="D1454" t="s">
        <v>411</v>
      </c>
    </row>
    <row r="1455">
      <c r="A1455" t="s">
        <v>397</v>
      </c>
      <c r="B1455" t="s">
        <v>873</v>
      </c>
      <c r="C1455" t="s">
        <v>413</v>
      </c>
      <c r="D1455" t="s">
        <v>411</v>
      </c>
    </row>
    <row r="1456">
      <c r="A1456" t="s">
        <v>397</v>
      </c>
      <c r="B1456" t="s">
        <v>874</v>
      </c>
      <c r="C1456" t="s">
        <v>413</v>
      </c>
      <c r="D1456" t="s">
        <v>411</v>
      </c>
    </row>
    <row r="1457">
      <c r="A1457" t="s">
        <v>397</v>
      </c>
      <c r="B1457" t="s">
        <v>876</v>
      </c>
      <c r="C1457" t="s">
        <v>413</v>
      </c>
      <c r="D1457" t="s">
        <v>411</v>
      </c>
    </row>
    <row r="1458">
      <c r="A1458" t="s">
        <v>397</v>
      </c>
      <c r="B1458" t="s">
        <v>877</v>
      </c>
      <c r="C1458" t="s">
        <v>413</v>
      </c>
      <c r="D1458" t="s">
        <v>411</v>
      </c>
    </row>
    <row r="1459">
      <c r="A1459" t="s">
        <v>397</v>
      </c>
      <c r="B1459" t="s">
        <v>878</v>
      </c>
      <c r="C1459" t="s">
        <v>413</v>
      </c>
      <c r="D1459" t="s">
        <v>411</v>
      </c>
    </row>
    <row r="1460">
      <c r="A1460" t="s">
        <v>397</v>
      </c>
      <c r="B1460" t="s">
        <v>879</v>
      </c>
      <c r="C1460" t="s">
        <v>413</v>
      </c>
      <c r="D1460" t="s">
        <v>411</v>
      </c>
    </row>
    <row r="1461">
      <c r="A1461" t="s">
        <v>397</v>
      </c>
      <c r="B1461" t="s">
        <v>880</v>
      </c>
      <c r="C1461" t="s">
        <v>413</v>
      </c>
      <c r="D1461" t="s">
        <v>411</v>
      </c>
    </row>
    <row r="1462">
      <c r="A1462" t="s">
        <v>397</v>
      </c>
      <c r="B1462" t="s">
        <v>881</v>
      </c>
      <c r="C1462" t="s">
        <v>413</v>
      </c>
      <c r="D1462" t="s">
        <v>411</v>
      </c>
    </row>
    <row r="1463">
      <c r="A1463" t="s">
        <v>397</v>
      </c>
      <c r="B1463" t="s">
        <v>1276</v>
      </c>
      <c r="C1463" t="s">
        <v>410</v>
      </c>
      <c r="D1463" t="s">
        <v>411</v>
      </c>
    </row>
    <row r="1464">
      <c r="A1464" t="s">
        <v>397</v>
      </c>
      <c r="B1464" t="s">
        <v>885</v>
      </c>
      <c r="C1464" t="s">
        <v>410</v>
      </c>
      <c r="D1464" t="s">
        <v>411</v>
      </c>
    </row>
    <row r="1465">
      <c r="A1465" t="s">
        <v>397</v>
      </c>
      <c r="B1465" t="s">
        <v>1014</v>
      </c>
      <c r="C1465" t="s">
        <v>487</v>
      </c>
      <c r="D1465" t="s">
        <v>411</v>
      </c>
    </row>
    <row r="1466">
      <c r="A1466" t="s">
        <v>397</v>
      </c>
      <c r="B1466" t="s">
        <v>886</v>
      </c>
      <c r="C1466" t="s">
        <v>491</v>
      </c>
      <c r="D1466" t="s">
        <v>411</v>
      </c>
    </row>
    <row r="1467">
      <c r="A1467" t="s">
        <v>397</v>
      </c>
      <c r="B1467" t="s">
        <v>886</v>
      </c>
      <c r="C1467" t="s">
        <v>492</v>
      </c>
      <c r="D1467" t="s">
        <v>411</v>
      </c>
    </row>
    <row r="1468">
      <c r="A1468" t="s">
        <v>397</v>
      </c>
      <c r="B1468" t="s">
        <v>887</v>
      </c>
      <c r="C1468" t="s">
        <v>491</v>
      </c>
      <c r="D1468" t="s">
        <v>411</v>
      </c>
    </row>
    <row r="1469">
      <c r="A1469" t="s">
        <v>397</v>
      </c>
      <c r="B1469" t="s">
        <v>887</v>
      </c>
      <c r="C1469" t="s">
        <v>492</v>
      </c>
      <c r="D1469" t="s">
        <v>411</v>
      </c>
    </row>
    <row r="1470">
      <c r="A1470" t="s">
        <v>397</v>
      </c>
      <c r="B1470" t="s">
        <v>888</v>
      </c>
      <c r="C1470" t="s">
        <v>465</v>
      </c>
      <c r="D1470" t="s">
        <v>411</v>
      </c>
    </row>
    <row r="1471">
      <c r="A1471" t="s">
        <v>397</v>
      </c>
      <c r="B1471" t="s">
        <v>889</v>
      </c>
      <c r="C1471" t="s">
        <v>491</v>
      </c>
      <c r="D1471" t="s">
        <v>411</v>
      </c>
    </row>
    <row r="1472">
      <c r="A1472" t="s">
        <v>397</v>
      </c>
      <c r="B1472" t="s">
        <v>889</v>
      </c>
      <c r="C1472" t="s">
        <v>492</v>
      </c>
      <c r="D1472" t="s">
        <v>411</v>
      </c>
    </row>
    <row r="1473">
      <c r="A1473" t="s">
        <v>397</v>
      </c>
      <c r="B1473" t="s">
        <v>1277</v>
      </c>
      <c r="C1473" t="s">
        <v>473</v>
      </c>
      <c r="D1473" t="s">
        <v>411</v>
      </c>
    </row>
    <row r="1474">
      <c r="A1474" t="s">
        <v>397</v>
      </c>
      <c r="B1474" t="s">
        <v>1278</v>
      </c>
      <c r="C1474" t="s">
        <v>473</v>
      </c>
      <c r="D1474" t="s">
        <v>411</v>
      </c>
    </row>
    <row r="1475">
      <c r="A1475" t="s">
        <v>397</v>
      </c>
      <c r="B1475" t="s">
        <v>1279</v>
      </c>
      <c r="C1475" t="s">
        <v>473</v>
      </c>
      <c r="D1475" t="s">
        <v>411</v>
      </c>
    </row>
    <row r="1476">
      <c r="A1476" t="s">
        <v>397</v>
      </c>
      <c r="B1476" t="s">
        <v>1280</v>
      </c>
      <c r="C1476" t="s">
        <v>473</v>
      </c>
      <c r="D1476" t="s">
        <v>411</v>
      </c>
    </row>
    <row r="1477">
      <c r="A1477" t="s">
        <v>397</v>
      </c>
      <c r="B1477" t="s">
        <v>758</v>
      </c>
      <c r="C1477" t="s">
        <v>487</v>
      </c>
      <c r="D1477" t="s">
        <v>411</v>
      </c>
    </row>
    <row r="1478">
      <c r="A1478" t="s">
        <v>397</v>
      </c>
      <c r="B1478" t="s">
        <v>890</v>
      </c>
      <c r="C1478" t="s">
        <v>489</v>
      </c>
      <c r="D1478" t="s">
        <v>411</v>
      </c>
    </row>
    <row r="1479">
      <c r="A1479" t="s">
        <v>397</v>
      </c>
      <c r="B1479" t="s">
        <v>890</v>
      </c>
      <c r="C1479" t="s">
        <v>492</v>
      </c>
      <c r="D1479" t="s">
        <v>411</v>
      </c>
    </row>
    <row r="1480">
      <c r="A1480" t="s">
        <v>397</v>
      </c>
      <c r="B1480" t="s">
        <v>835</v>
      </c>
      <c r="C1480" t="s">
        <v>491</v>
      </c>
      <c r="D1480" t="s">
        <v>411</v>
      </c>
    </row>
    <row r="1481">
      <c r="A1481" t="s">
        <v>397</v>
      </c>
      <c r="B1481" t="s">
        <v>835</v>
      </c>
      <c r="C1481" t="s">
        <v>492</v>
      </c>
      <c r="D1481" t="s">
        <v>411</v>
      </c>
    </row>
    <row r="1482">
      <c r="A1482" t="s">
        <v>397</v>
      </c>
      <c r="B1482" t="s">
        <v>1281</v>
      </c>
      <c r="C1482" t="s">
        <v>491</v>
      </c>
      <c r="D1482" t="s">
        <v>408</v>
      </c>
    </row>
    <row r="1483">
      <c r="A1483" t="s">
        <v>397</v>
      </c>
      <c r="B1483" t="s">
        <v>837</v>
      </c>
      <c r="C1483" t="s">
        <v>491</v>
      </c>
      <c r="D1483" t="s">
        <v>411</v>
      </c>
    </row>
    <row r="1484">
      <c r="A1484" t="s">
        <v>397</v>
      </c>
      <c r="B1484" t="s">
        <v>837</v>
      </c>
      <c r="C1484" t="s">
        <v>492</v>
      </c>
      <c r="D1484" t="s">
        <v>411</v>
      </c>
    </row>
    <row r="1485">
      <c r="A1485" t="s">
        <v>397</v>
      </c>
      <c r="B1485" t="s">
        <v>1282</v>
      </c>
      <c r="C1485" t="s">
        <v>473</v>
      </c>
      <c r="D1485" t="s">
        <v>411</v>
      </c>
    </row>
    <row r="1486">
      <c r="A1486" t="s">
        <v>397</v>
      </c>
      <c r="B1486" t="s">
        <v>1283</v>
      </c>
      <c r="C1486" t="s">
        <v>473</v>
      </c>
      <c r="D1486" t="s">
        <v>411</v>
      </c>
    </row>
    <row r="1487">
      <c r="A1487" t="s">
        <v>397</v>
      </c>
      <c r="B1487" t="s">
        <v>901</v>
      </c>
      <c r="C1487" t="s">
        <v>494</v>
      </c>
      <c r="D1487" t="s">
        <v>411</v>
      </c>
    </row>
    <row r="1488">
      <c r="A1488" t="s">
        <v>397</v>
      </c>
      <c r="B1488" t="s">
        <v>1284</v>
      </c>
      <c r="C1488" t="s">
        <v>494</v>
      </c>
      <c r="D1488" t="s">
        <v>411</v>
      </c>
    </row>
    <row r="1489">
      <c r="A1489" t="s">
        <v>397</v>
      </c>
      <c r="B1489" t="s">
        <v>1285</v>
      </c>
      <c r="C1489" t="s">
        <v>473</v>
      </c>
      <c r="D1489" t="s">
        <v>411</v>
      </c>
    </row>
    <row r="1490">
      <c r="A1490" t="s">
        <v>397</v>
      </c>
      <c r="B1490" t="s">
        <v>1286</v>
      </c>
      <c r="C1490" t="s">
        <v>473</v>
      </c>
      <c r="D1490" t="s">
        <v>411</v>
      </c>
    </row>
    <row r="1491">
      <c r="A1491" t="s">
        <v>397</v>
      </c>
      <c r="B1491" t="s">
        <v>1287</v>
      </c>
      <c r="C1491" t="s">
        <v>473</v>
      </c>
      <c r="D1491" t="s">
        <v>411</v>
      </c>
    </row>
    <row r="1492">
      <c r="A1492" t="s">
        <v>397</v>
      </c>
      <c r="B1492" t="s">
        <v>840</v>
      </c>
      <c r="C1492" t="s">
        <v>492</v>
      </c>
      <c r="D1492" t="s">
        <v>411</v>
      </c>
    </row>
    <row r="1493">
      <c r="A1493" t="s">
        <v>397</v>
      </c>
      <c r="B1493" t="s">
        <v>841</v>
      </c>
      <c r="C1493" t="s">
        <v>489</v>
      </c>
      <c r="D1493" t="s">
        <v>411</v>
      </c>
    </row>
    <row r="1494">
      <c r="A1494" t="s">
        <v>397</v>
      </c>
      <c r="B1494" t="s">
        <v>841</v>
      </c>
      <c r="C1494" t="s">
        <v>492</v>
      </c>
      <c r="D1494" t="s">
        <v>411</v>
      </c>
    </row>
    <row r="1495">
      <c r="A1495" t="s">
        <v>397</v>
      </c>
      <c r="B1495" t="s">
        <v>855</v>
      </c>
      <c r="C1495" t="s">
        <v>489</v>
      </c>
      <c r="D1495" t="s">
        <v>411</v>
      </c>
    </row>
    <row r="1496">
      <c r="A1496" t="s">
        <v>397</v>
      </c>
      <c r="B1496" t="s">
        <v>855</v>
      </c>
      <c r="C1496" t="s">
        <v>492</v>
      </c>
      <c r="D1496" t="s">
        <v>411</v>
      </c>
    </row>
    <row r="1497">
      <c r="A1497" t="s">
        <v>397</v>
      </c>
      <c r="B1497" t="s">
        <v>1288</v>
      </c>
      <c r="C1497" t="s">
        <v>473</v>
      </c>
      <c r="D1497" t="s">
        <v>411</v>
      </c>
    </row>
    <row r="1498">
      <c r="A1498" t="s">
        <v>397</v>
      </c>
      <c r="B1498" t="s">
        <v>1289</v>
      </c>
      <c r="C1498" t="s">
        <v>473</v>
      </c>
      <c r="D1498" t="s">
        <v>411</v>
      </c>
    </row>
    <row r="1499">
      <c r="A1499" t="s">
        <v>397</v>
      </c>
      <c r="B1499" t="s">
        <v>1290</v>
      </c>
      <c r="C1499" t="s">
        <v>473</v>
      </c>
      <c r="D1499" t="s">
        <v>411</v>
      </c>
    </row>
    <row r="1500">
      <c r="A1500" t="s">
        <v>397</v>
      </c>
      <c r="B1500" t="s">
        <v>1291</v>
      </c>
      <c r="C1500" t="s">
        <v>473</v>
      </c>
      <c r="D1500" t="s">
        <v>411</v>
      </c>
    </row>
    <row r="1501">
      <c r="A1501" t="s">
        <v>397</v>
      </c>
      <c r="B1501" t="s">
        <v>1017</v>
      </c>
      <c r="C1501" t="s">
        <v>473</v>
      </c>
      <c r="D1501" t="s">
        <v>411</v>
      </c>
    </row>
    <row r="1502">
      <c r="A1502" t="s">
        <v>397</v>
      </c>
      <c r="B1502" t="s">
        <v>1292</v>
      </c>
      <c r="C1502" t="s">
        <v>473</v>
      </c>
      <c r="D1502" t="s">
        <v>411</v>
      </c>
    </row>
    <row r="1503">
      <c r="A1503" t="s">
        <v>397</v>
      </c>
      <c r="B1503" t="s">
        <v>1293</v>
      </c>
      <c r="C1503" t="s">
        <v>473</v>
      </c>
      <c r="D1503" t="s">
        <v>411</v>
      </c>
    </row>
    <row r="1504">
      <c r="A1504" t="s">
        <v>397</v>
      </c>
      <c r="B1504" t="s">
        <v>1294</v>
      </c>
      <c r="C1504" t="s">
        <v>473</v>
      </c>
      <c r="D1504" t="s">
        <v>411</v>
      </c>
    </row>
    <row r="1505">
      <c r="A1505" t="s">
        <v>397</v>
      </c>
      <c r="B1505" t="s">
        <v>1295</v>
      </c>
      <c r="C1505" t="s">
        <v>473</v>
      </c>
      <c r="D1505" t="s">
        <v>411</v>
      </c>
    </row>
    <row r="1506">
      <c r="A1506" t="s">
        <v>397</v>
      </c>
      <c r="B1506" t="s">
        <v>1018</v>
      </c>
      <c r="C1506" t="s">
        <v>473</v>
      </c>
      <c r="D1506" t="s">
        <v>411</v>
      </c>
    </row>
    <row r="1507">
      <c r="A1507" t="s">
        <v>397</v>
      </c>
      <c r="B1507" t="s">
        <v>1296</v>
      </c>
      <c r="C1507" t="s">
        <v>473</v>
      </c>
      <c r="D1507" t="s">
        <v>411</v>
      </c>
    </row>
    <row r="1508">
      <c r="A1508" t="s">
        <v>397</v>
      </c>
      <c r="B1508" t="s">
        <v>1297</v>
      </c>
      <c r="C1508" t="s">
        <v>473</v>
      </c>
      <c r="D1508" t="s">
        <v>411</v>
      </c>
    </row>
    <row r="1509">
      <c r="A1509" t="s">
        <v>397</v>
      </c>
      <c r="B1509" t="s">
        <v>1298</v>
      </c>
      <c r="C1509" t="s">
        <v>473</v>
      </c>
      <c r="D1509" t="s">
        <v>411</v>
      </c>
    </row>
    <row r="1510">
      <c r="A1510" t="s">
        <v>397</v>
      </c>
      <c r="B1510" t="s">
        <v>1299</v>
      </c>
      <c r="C1510" t="s">
        <v>473</v>
      </c>
      <c r="D1510" t="s">
        <v>411</v>
      </c>
    </row>
    <row r="1511">
      <c r="A1511" t="s">
        <v>397</v>
      </c>
      <c r="B1511" t="s">
        <v>1300</v>
      </c>
      <c r="C1511" t="s">
        <v>473</v>
      </c>
      <c r="D1511" t="s">
        <v>411</v>
      </c>
    </row>
    <row r="1512">
      <c r="A1512" t="s">
        <v>397</v>
      </c>
      <c r="B1512" t="s">
        <v>1301</v>
      </c>
      <c r="C1512" t="s">
        <v>473</v>
      </c>
      <c r="D1512" t="s">
        <v>411</v>
      </c>
    </row>
    <row r="1513">
      <c r="A1513" t="s">
        <v>397</v>
      </c>
      <c r="B1513" t="s">
        <v>1302</v>
      </c>
      <c r="C1513" t="s">
        <v>473</v>
      </c>
      <c r="D1513" t="s">
        <v>411</v>
      </c>
    </row>
    <row r="1514">
      <c r="A1514" t="s">
        <v>397</v>
      </c>
      <c r="B1514" t="s">
        <v>1303</v>
      </c>
      <c r="C1514" t="s">
        <v>473</v>
      </c>
      <c r="D1514" t="s">
        <v>411</v>
      </c>
    </row>
    <row r="1515">
      <c r="A1515" t="s">
        <v>397</v>
      </c>
      <c r="B1515" t="s">
        <v>1304</v>
      </c>
      <c r="C1515" t="s">
        <v>473</v>
      </c>
      <c r="D1515" t="s">
        <v>411</v>
      </c>
    </row>
    <row r="1516">
      <c r="A1516" t="s">
        <v>397</v>
      </c>
      <c r="B1516" t="s">
        <v>1305</v>
      </c>
      <c r="C1516" t="s">
        <v>473</v>
      </c>
      <c r="D1516" t="s">
        <v>411</v>
      </c>
    </row>
    <row r="1517">
      <c r="A1517" t="s">
        <v>397</v>
      </c>
      <c r="B1517" t="s">
        <v>1019</v>
      </c>
      <c r="C1517" t="s">
        <v>473</v>
      </c>
      <c r="D1517" t="s">
        <v>411</v>
      </c>
    </row>
    <row r="1518">
      <c r="A1518" t="s">
        <v>397</v>
      </c>
      <c r="B1518" t="s">
        <v>757</v>
      </c>
      <c r="C1518" t="s">
        <v>487</v>
      </c>
      <c r="D1518" t="s">
        <v>411</v>
      </c>
    </row>
    <row r="1519">
      <c r="A1519" t="s">
        <v>397</v>
      </c>
      <c r="B1519" t="s">
        <v>858</v>
      </c>
      <c r="C1519" t="s">
        <v>496</v>
      </c>
      <c r="D1519" t="s">
        <v>411</v>
      </c>
    </row>
    <row r="1520">
      <c r="A1520" t="s">
        <v>397</v>
      </c>
      <c r="B1520" t="s">
        <v>997</v>
      </c>
      <c r="C1520" t="s">
        <v>410</v>
      </c>
      <c r="D1520" t="s">
        <v>411</v>
      </c>
    </row>
    <row r="1521">
      <c r="A1521" t="s">
        <v>397</v>
      </c>
      <c r="B1521" t="s">
        <v>1025</v>
      </c>
      <c r="C1521" t="s">
        <v>410</v>
      </c>
      <c r="D1521" t="s">
        <v>411</v>
      </c>
    </row>
    <row r="1522">
      <c r="A1522" t="s">
        <v>397</v>
      </c>
      <c r="B1522" t="s">
        <v>1026</v>
      </c>
      <c r="C1522" t="s">
        <v>410</v>
      </c>
      <c r="D1522" t="s">
        <v>411</v>
      </c>
    </row>
    <row r="1523">
      <c r="A1523" t="s">
        <v>397</v>
      </c>
      <c r="B1523" t="s">
        <v>1027</v>
      </c>
      <c r="C1523" t="s">
        <v>410</v>
      </c>
      <c r="D1523" t="s">
        <v>411</v>
      </c>
    </row>
    <row r="1524">
      <c r="A1524" t="s">
        <v>397</v>
      </c>
      <c r="B1524" t="s">
        <v>859</v>
      </c>
      <c r="C1524" t="s">
        <v>496</v>
      </c>
      <c r="D1524" t="s">
        <v>411</v>
      </c>
    </row>
    <row r="1525">
      <c r="A1525" t="s">
        <v>397</v>
      </c>
      <c r="B1525" t="s">
        <v>1028</v>
      </c>
      <c r="C1525" t="s">
        <v>410</v>
      </c>
      <c r="D1525" t="s">
        <v>411</v>
      </c>
    </row>
    <row r="1526">
      <c r="A1526" t="s">
        <v>397</v>
      </c>
      <c r="B1526" t="s">
        <v>998</v>
      </c>
      <c r="C1526" t="s">
        <v>410</v>
      </c>
      <c r="D1526" t="s">
        <v>411</v>
      </c>
    </row>
    <row r="1527">
      <c r="A1527" t="s">
        <v>397</v>
      </c>
      <c r="B1527" t="s">
        <v>999</v>
      </c>
      <c r="C1527" t="s">
        <v>410</v>
      </c>
      <c r="D1527" t="s">
        <v>411</v>
      </c>
    </row>
    <row r="1528">
      <c r="A1528" t="s">
        <v>397</v>
      </c>
      <c r="B1528" t="s">
        <v>1000</v>
      </c>
      <c r="C1528" t="s">
        <v>410</v>
      </c>
      <c r="D1528" t="s">
        <v>411</v>
      </c>
    </row>
    <row r="1529">
      <c r="A1529" t="s">
        <v>397</v>
      </c>
      <c r="B1529" t="s">
        <v>1001</v>
      </c>
      <c r="C1529" t="s">
        <v>410</v>
      </c>
      <c r="D1529" t="s">
        <v>411</v>
      </c>
    </row>
    <row r="1530">
      <c r="A1530" t="s">
        <v>397</v>
      </c>
      <c r="B1530" t="s">
        <v>1002</v>
      </c>
      <c r="C1530" t="s">
        <v>410</v>
      </c>
      <c r="D1530" t="s">
        <v>411</v>
      </c>
    </row>
    <row r="1531">
      <c r="A1531" t="s">
        <v>397</v>
      </c>
      <c r="B1531" t="s">
        <v>1003</v>
      </c>
      <c r="C1531" t="s">
        <v>410</v>
      </c>
      <c r="D1531" t="s">
        <v>411</v>
      </c>
    </row>
    <row r="1532">
      <c r="A1532" t="s">
        <v>397</v>
      </c>
      <c r="B1532" t="s">
        <v>1004</v>
      </c>
      <c r="C1532" t="s">
        <v>410</v>
      </c>
      <c r="D1532" t="s">
        <v>411</v>
      </c>
    </row>
    <row r="1533">
      <c r="A1533" t="s">
        <v>397</v>
      </c>
      <c r="B1533" t="s">
        <v>1005</v>
      </c>
      <c r="C1533" t="s">
        <v>410</v>
      </c>
      <c r="D1533" t="s">
        <v>411</v>
      </c>
    </row>
    <row r="1534">
      <c r="A1534" t="s">
        <v>397</v>
      </c>
      <c r="B1534" t="s">
        <v>1006</v>
      </c>
      <c r="C1534" t="s">
        <v>410</v>
      </c>
      <c r="D1534" t="s">
        <v>411</v>
      </c>
    </row>
    <row r="1535">
      <c r="A1535" t="s">
        <v>397</v>
      </c>
      <c r="B1535" t="s">
        <v>860</v>
      </c>
      <c r="C1535" t="s">
        <v>410</v>
      </c>
      <c r="D1535" t="s">
        <v>411</v>
      </c>
    </row>
    <row r="1536">
      <c r="A1536" t="s">
        <v>397</v>
      </c>
      <c r="B1536" t="s">
        <v>845</v>
      </c>
      <c r="C1536" t="s">
        <v>410</v>
      </c>
      <c r="D1536" t="s">
        <v>411</v>
      </c>
    </row>
    <row r="1537">
      <c r="A1537" t="s">
        <v>397</v>
      </c>
      <c r="B1537" t="s">
        <v>846</v>
      </c>
      <c r="C1537" t="s">
        <v>410</v>
      </c>
      <c r="D1537" t="s">
        <v>411</v>
      </c>
    </row>
    <row r="1538">
      <c r="A1538" t="s">
        <v>397</v>
      </c>
      <c r="B1538" t="s">
        <v>847</v>
      </c>
      <c r="C1538" t="s">
        <v>410</v>
      </c>
      <c r="D1538" t="s">
        <v>411</v>
      </c>
    </row>
    <row r="1539">
      <c r="A1539" t="s">
        <v>397</v>
      </c>
      <c r="B1539" t="s">
        <v>848</v>
      </c>
      <c r="C1539" t="s">
        <v>410</v>
      </c>
      <c r="D1539" t="s">
        <v>411</v>
      </c>
    </row>
    <row r="1540">
      <c r="A1540" t="s">
        <v>397</v>
      </c>
      <c r="B1540" t="s">
        <v>1007</v>
      </c>
      <c r="C1540" t="s">
        <v>410</v>
      </c>
      <c r="D1540" t="s">
        <v>411</v>
      </c>
    </row>
    <row r="1541">
      <c r="A1541" t="s">
        <v>397</v>
      </c>
      <c r="B1541" t="s">
        <v>1008</v>
      </c>
      <c r="C1541" t="s">
        <v>410</v>
      </c>
      <c r="D1541" t="s">
        <v>411</v>
      </c>
    </row>
    <row r="1542">
      <c r="A1542" t="s">
        <v>397</v>
      </c>
      <c r="B1542" t="s">
        <v>849</v>
      </c>
      <c r="C1542" t="s">
        <v>410</v>
      </c>
      <c r="D1542" t="s">
        <v>411</v>
      </c>
    </row>
    <row r="1543">
      <c r="A1543" t="s">
        <v>397</v>
      </c>
      <c r="B1543" t="s">
        <v>850</v>
      </c>
      <c r="C1543" t="s">
        <v>410</v>
      </c>
      <c r="D1543" t="s">
        <v>411</v>
      </c>
    </row>
    <row r="1544">
      <c r="A1544" t="s">
        <v>397</v>
      </c>
      <c r="B1544" t="s">
        <v>851</v>
      </c>
      <c r="C1544" t="s">
        <v>410</v>
      </c>
      <c r="D1544" t="s">
        <v>411</v>
      </c>
    </row>
    <row r="1545">
      <c r="A1545" t="s">
        <v>397</v>
      </c>
      <c r="B1545" t="s">
        <v>852</v>
      </c>
      <c r="C1545" t="s">
        <v>496</v>
      </c>
      <c r="D1545" t="s">
        <v>411</v>
      </c>
    </row>
    <row r="1546">
      <c r="A1546" t="s">
        <v>397</v>
      </c>
      <c r="B1546" t="s">
        <v>1009</v>
      </c>
      <c r="C1546" t="s">
        <v>410</v>
      </c>
      <c r="D1546" t="s">
        <v>411</v>
      </c>
    </row>
    <row r="1547">
      <c r="A1547" t="s">
        <v>397</v>
      </c>
      <c r="B1547" t="s">
        <v>1010</v>
      </c>
      <c r="C1547" t="s">
        <v>410</v>
      </c>
      <c r="D1547" t="s">
        <v>411</v>
      </c>
    </row>
    <row r="1548">
      <c r="A1548" t="s">
        <v>397</v>
      </c>
      <c r="B1548" t="s">
        <v>1011</v>
      </c>
      <c r="C1548" t="s">
        <v>410</v>
      </c>
      <c r="D1548" t="s">
        <v>411</v>
      </c>
    </row>
    <row r="1549">
      <c r="A1549" t="s">
        <v>397</v>
      </c>
      <c r="B1549" t="s">
        <v>1306</v>
      </c>
      <c r="C1549" t="s">
        <v>410</v>
      </c>
      <c r="D1549" t="s">
        <v>411</v>
      </c>
    </row>
    <row r="1550">
      <c r="A1550" t="s">
        <v>397</v>
      </c>
      <c r="B1550" t="s">
        <v>1307</v>
      </c>
      <c r="C1550" t="s">
        <v>410</v>
      </c>
      <c r="D1550" t="s">
        <v>411</v>
      </c>
    </row>
    <row r="1551">
      <c r="A1551" t="s">
        <v>397</v>
      </c>
      <c r="B1551" t="s">
        <v>861</v>
      </c>
      <c r="C1551" t="s">
        <v>410</v>
      </c>
      <c r="D1551" t="s">
        <v>411</v>
      </c>
    </row>
    <row r="1552">
      <c r="A1552" t="s">
        <v>397</v>
      </c>
      <c r="B1552" t="s">
        <v>862</v>
      </c>
      <c r="C1552" t="s">
        <v>410</v>
      </c>
      <c r="D1552" t="s">
        <v>411</v>
      </c>
    </row>
    <row r="1553">
      <c r="A1553" t="s">
        <v>397</v>
      </c>
      <c r="B1553" t="s">
        <v>863</v>
      </c>
      <c r="C1553" t="s">
        <v>410</v>
      </c>
      <c r="D1553" t="s">
        <v>411</v>
      </c>
    </row>
    <row r="1554">
      <c r="A1554" t="s">
        <v>397</v>
      </c>
      <c r="B1554" t="s">
        <v>864</v>
      </c>
      <c r="C1554" t="s">
        <v>410</v>
      </c>
      <c r="D1554" t="s">
        <v>411</v>
      </c>
    </row>
    <row r="1555">
      <c r="A1555" t="s">
        <v>397</v>
      </c>
      <c r="B1555" t="s">
        <v>865</v>
      </c>
      <c r="C1555" t="s">
        <v>410</v>
      </c>
      <c r="D1555" t="s">
        <v>411</v>
      </c>
    </row>
    <row r="1556">
      <c r="A1556" t="s">
        <v>397</v>
      </c>
      <c r="B1556" t="s">
        <v>854</v>
      </c>
      <c r="C1556" t="s">
        <v>487</v>
      </c>
      <c r="D1556" t="s">
        <v>411</v>
      </c>
    </row>
    <row r="1557">
      <c r="A1557" t="s">
        <v>397</v>
      </c>
      <c r="B1557" t="s">
        <v>1012</v>
      </c>
      <c r="C1557" t="s">
        <v>487</v>
      </c>
      <c r="D1557" t="s">
        <v>411</v>
      </c>
    </row>
    <row r="1558">
      <c r="A1558" t="s">
        <v>397</v>
      </c>
      <c r="B1558" t="s">
        <v>506</v>
      </c>
      <c r="C1558" t="s">
        <v>507</v>
      </c>
      <c r="D1558" t="s">
        <v>408</v>
      </c>
    </row>
    <row r="1559">
      <c r="A1559" t="s">
        <v>397</v>
      </c>
      <c r="B1559" t="s">
        <v>903</v>
      </c>
      <c r="C1559" t="s">
        <v>494</v>
      </c>
      <c r="D1559" t="s">
        <v>411</v>
      </c>
    </row>
    <row r="1560">
      <c r="A1560" t="s">
        <v>397</v>
      </c>
      <c r="B1560" t="s">
        <v>904</v>
      </c>
      <c r="C1560" t="s">
        <v>494</v>
      </c>
      <c r="D1560" t="s">
        <v>411</v>
      </c>
    </row>
    <row r="1561">
      <c r="A1561" t="s">
        <v>397</v>
      </c>
      <c r="B1561" t="s">
        <v>905</v>
      </c>
      <c r="C1561" t="s">
        <v>494</v>
      </c>
      <c r="D1561" t="s">
        <v>411</v>
      </c>
    </row>
    <row r="1562">
      <c r="A1562" t="s">
        <v>397</v>
      </c>
      <c r="B1562" t="s">
        <v>906</v>
      </c>
      <c r="C1562" t="s">
        <v>494</v>
      </c>
      <c r="D1562" t="s">
        <v>411</v>
      </c>
    </row>
    <row r="1563">
      <c r="A1563" t="s">
        <v>397</v>
      </c>
      <c r="B1563" t="s">
        <v>838</v>
      </c>
      <c r="C1563" t="s">
        <v>489</v>
      </c>
      <c r="D1563" t="s">
        <v>411</v>
      </c>
    </row>
    <row r="1564">
      <c r="A1564" t="s">
        <v>397</v>
      </c>
      <c r="B1564" t="s">
        <v>838</v>
      </c>
      <c r="C1564" t="s">
        <v>492</v>
      </c>
      <c r="D1564" t="s">
        <v>411</v>
      </c>
    </row>
    <row r="1565">
      <c r="A1565" t="s">
        <v>397</v>
      </c>
      <c r="B1565" t="s">
        <v>840</v>
      </c>
      <c r="C1565" t="s">
        <v>489</v>
      </c>
      <c r="D1565" t="s">
        <v>411</v>
      </c>
    </row>
    <row r="1566">
      <c r="A1566" t="s">
        <v>399</v>
      </c>
      <c r="B1566" t="s">
        <v>1308</v>
      </c>
      <c r="C1566" t="s">
        <v>473</v>
      </c>
      <c r="D1566" t="s">
        <v>411</v>
      </c>
    </row>
    <row r="1567">
      <c r="A1567" t="s">
        <v>399</v>
      </c>
      <c r="B1567" t="s">
        <v>842</v>
      </c>
      <c r="C1567" t="s">
        <v>473</v>
      </c>
      <c r="D1567" t="s">
        <v>411</v>
      </c>
    </row>
    <row r="1568">
      <c r="A1568" t="s">
        <v>399</v>
      </c>
      <c r="B1568" t="s">
        <v>1016</v>
      </c>
      <c r="C1568" t="s">
        <v>473</v>
      </c>
      <c r="D1568" t="s">
        <v>411</v>
      </c>
    </row>
    <row r="1569">
      <c r="A1569" t="s">
        <v>399</v>
      </c>
      <c r="B1569" t="s">
        <v>843</v>
      </c>
      <c r="C1569" t="s">
        <v>487</v>
      </c>
      <c r="D1569" t="s">
        <v>411</v>
      </c>
    </row>
    <row r="1570">
      <c r="A1570" t="s">
        <v>399</v>
      </c>
      <c r="B1570" t="s">
        <v>844</v>
      </c>
      <c r="C1570" t="s">
        <v>489</v>
      </c>
      <c r="D1570" t="s">
        <v>411</v>
      </c>
    </row>
    <row r="1571">
      <c r="A1571" t="s">
        <v>399</v>
      </c>
      <c r="B1571" t="s">
        <v>856</v>
      </c>
      <c r="C1571" t="s">
        <v>491</v>
      </c>
      <c r="D1571" t="s">
        <v>411</v>
      </c>
    </row>
    <row r="1572">
      <c r="A1572" t="s">
        <v>399</v>
      </c>
      <c r="B1572" t="s">
        <v>856</v>
      </c>
      <c r="C1572" t="s">
        <v>492</v>
      </c>
      <c r="D1572" t="s">
        <v>411</v>
      </c>
    </row>
    <row r="1573">
      <c r="A1573" t="s">
        <v>399</v>
      </c>
      <c r="B1573" t="s">
        <v>1309</v>
      </c>
      <c r="C1573" t="s">
        <v>494</v>
      </c>
      <c r="D1573" t="s">
        <v>411</v>
      </c>
    </row>
    <row r="1574">
      <c r="A1574" t="s">
        <v>399</v>
      </c>
      <c r="B1574" t="s">
        <v>1310</v>
      </c>
      <c r="C1574" t="s">
        <v>505</v>
      </c>
      <c r="D1574" t="s">
        <v>411</v>
      </c>
    </row>
    <row r="1575">
      <c r="A1575" t="s">
        <v>399</v>
      </c>
      <c r="B1575" t="s">
        <v>506</v>
      </c>
      <c r="C1575" t="s">
        <v>507</v>
      </c>
      <c r="D1575" t="s">
        <v>408</v>
      </c>
    </row>
    <row r="1576">
      <c r="A1576" t="s">
        <v>399</v>
      </c>
      <c r="B1576" t="s">
        <v>509</v>
      </c>
      <c r="C1576" t="s">
        <v>507</v>
      </c>
      <c r="D1576" t="s">
        <v>408</v>
      </c>
    </row>
    <row r="1577">
      <c r="A1577" t="s">
        <v>399</v>
      </c>
      <c r="B1577" t="s">
        <v>1311</v>
      </c>
      <c r="C1577" t="s">
        <v>473</v>
      </c>
      <c r="D1577" t="s">
        <v>411</v>
      </c>
    </row>
    <row r="1578">
      <c r="A1578" t="s">
        <v>399</v>
      </c>
      <c r="B1578" t="s">
        <v>1312</v>
      </c>
      <c r="C1578" t="s">
        <v>410</v>
      </c>
      <c r="D1578" t="s">
        <v>411</v>
      </c>
    </row>
    <row r="1579">
      <c r="A1579" t="s">
        <v>399</v>
      </c>
      <c r="B1579" t="s">
        <v>1313</v>
      </c>
      <c r="C1579" t="s">
        <v>410</v>
      </c>
      <c r="D1579" t="s">
        <v>411</v>
      </c>
    </row>
    <row r="1580">
      <c r="A1580" t="s">
        <v>399</v>
      </c>
      <c r="B1580" t="s">
        <v>1314</v>
      </c>
      <c r="C1580" t="s">
        <v>410</v>
      </c>
      <c r="D1580" t="s">
        <v>411</v>
      </c>
    </row>
    <row r="1581">
      <c r="A1581" t="s">
        <v>399</v>
      </c>
      <c r="B1581" t="s">
        <v>1315</v>
      </c>
      <c r="C1581" t="s">
        <v>410</v>
      </c>
      <c r="D1581" t="s">
        <v>411</v>
      </c>
    </row>
    <row r="1582">
      <c r="A1582" t="s">
        <v>399</v>
      </c>
      <c r="B1582" t="s">
        <v>875</v>
      </c>
      <c r="C1582" t="s">
        <v>413</v>
      </c>
      <c r="D1582" t="s">
        <v>411</v>
      </c>
    </row>
    <row r="1583">
      <c r="A1583" t="s">
        <v>399</v>
      </c>
      <c r="B1583" t="s">
        <v>882</v>
      </c>
      <c r="C1583" t="s">
        <v>413</v>
      </c>
      <c r="D1583" t="s">
        <v>411</v>
      </c>
    </row>
    <row r="1584">
      <c r="A1584" t="s">
        <v>399</v>
      </c>
      <c r="B1584" t="s">
        <v>884</v>
      </c>
      <c r="C1584" t="s">
        <v>413</v>
      </c>
      <c r="D1584" t="s">
        <v>411</v>
      </c>
    </row>
    <row r="1585">
      <c r="A1585" t="s">
        <v>399</v>
      </c>
      <c r="B1585" t="s">
        <v>1013</v>
      </c>
      <c r="C1585" t="s">
        <v>410</v>
      </c>
      <c r="D1585" t="s">
        <v>411</v>
      </c>
    </row>
    <row r="1586">
      <c r="A1586" t="s">
        <v>399</v>
      </c>
      <c r="B1586" t="s">
        <v>912</v>
      </c>
      <c r="C1586" t="s">
        <v>417</v>
      </c>
      <c r="D1586" t="s">
        <v>411</v>
      </c>
    </row>
    <row r="1587">
      <c r="A1587" t="s">
        <v>399</v>
      </c>
      <c r="B1587" t="s">
        <v>1316</v>
      </c>
      <c r="C1587" t="s">
        <v>419</v>
      </c>
      <c r="D1587" t="s">
        <v>411</v>
      </c>
    </row>
    <row r="1588">
      <c r="A1588" t="s">
        <v>399</v>
      </c>
      <c r="B1588" t="s">
        <v>1317</v>
      </c>
      <c r="C1588" t="s">
        <v>419</v>
      </c>
      <c r="D1588" t="s">
        <v>411</v>
      </c>
    </row>
    <row r="1589">
      <c r="A1589" t="s">
        <v>399</v>
      </c>
      <c r="B1589" t="s">
        <v>1318</v>
      </c>
      <c r="C1589" t="s">
        <v>419</v>
      </c>
      <c r="D1589" t="s">
        <v>411</v>
      </c>
    </row>
    <row r="1590">
      <c r="A1590" t="s">
        <v>399</v>
      </c>
      <c r="B1590" t="s">
        <v>1319</v>
      </c>
      <c r="C1590" t="s">
        <v>419</v>
      </c>
      <c r="D1590" t="s">
        <v>411</v>
      </c>
    </row>
    <row r="1591">
      <c r="A1591" t="s">
        <v>399</v>
      </c>
      <c r="B1591" t="s">
        <v>1320</v>
      </c>
      <c r="C1591" t="s">
        <v>419</v>
      </c>
      <c r="D1591" t="s">
        <v>411</v>
      </c>
    </row>
    <row r="1592">
      <c r="A1592" t="s">
        <v>399</v>
      </c>
      <c r="B1592" t="s">
        <v>1321</v>
      </c>
      <c r="C1592" t="s">
        <v>419</v>
      </c>
      <c r="D1592" t="s">
        <v>411</v>
      </c>
    </row>
    <row r="1593">
      <c r="A1593" t="s">
        <v>399</v>
      </c>
      <c r="B1593" t="s">
        <v>1322</v>
      </c>
      <c r="C1593" t="s">
        <v>419</v>
      </c>
      <c r="D1593" t="s">
        <v>411</v>
      </c>
    </row>
    <row r="1594">
      <c r="A1594" t="s">
        <v>399</v>
      </c>
      <c r="B1594" t="s">
        <v>1323</v>
      </c>
      <c r="C1594" t="s">
        <v>419</v>
      </c>
      <c r="D1594" t="s">
        <v>411</v>
      </c>
    </row>
    <row r="1595">
      <c r="A1595" t="s">
        <v>399</v>
      </c>
      <c r="B1595" t="s">
        <v>1324</v>
      </c>
      <c r="C1595" t="s">
        <v>419</v>
      </c>
      <c r="D1595" t="s">
        <v>411</v>
      </c>
    </row>
    <row r="1596">
      <c r="A1596" t="s">
        <v>399</v>
      </c>
      <c r="B1596" t="s">
        <v>1325</v>
      </c>
      <c r="C1596" t="s">
        <v>419</v>
      </c>
      <c r="D1596" t="s">
        <v>411</v>
      </c>
    </row>
    <row r="1597">
      <c r="A1597" t="s">
        <v>399</v>
      </c>
      <c r="B1597" t="s">
        <v>1326</v>
      </c>
      <c r="C1597" t="s">
        <v>419</v>
      </c>
      <c r="D1597" t="s">
        <v>411</v>
      </c>
    </row>
    <row r="1598">
      <c r="A1598" t="s">
        <v>399</v>
      </c>
      <c r="B1598" t="s">
        <v>1327</v>
      </c>
      <c r="C1598" t="s">
        <v>419</v>
      </c>
      <c r="D1598" t="s">
        <v>411</v>
      </c>
    </row>
    <row r="1599">
      <c r="A1599" t="s">
        <v>399</v>
      </c>
      <c r="B1599" t="s">
        <v>1328</v>
      </c>
      <c r="C1599" t="s">
        <v>419</v>
      </c>
      <c r="D1599" t="s">
        <v>411</v>
      </c>
    </row>
    <row r="1600">
      <c r="A1600" t="s">
        <v>399</v>
      </c>
      <c r="B1600" t="s">
        <v>1329</v>
      </c>
      <c r="C1600" t="s">
        <v>419</v>
      </c>
      <c r="D1600" t="s">
        <v>411</v>
      </c>
    </row>
    <row r="1601">
      <c r="A1601" t="s">
        <v>399</v>
      </c>
      <c r="B1601" t="s">
        <v>1330</v>
      </c>
      <c r="C1601" t="s">
        <v>419</v>
      </c>
      <c r="D1601" t="s">
        <v>411</v>
      </c>
    </row>
    <row r="1602">
      <c r="A1602" t="s">
        <v>399</v>
      </c>
      <c r="B1602" t="s">
        <v>1331</v>
      </c>
      <c r="C1602" t="s">
        <v>419</v>
      </c>
      <c r="D1602" t="s">
        <v>411</v>
      </c>
    </row>
    <row r="1603">
      <c r="A1603" t="s">
        <v>399</v>
      </c>
      <c r="B1603" t="s">
        <v>1332</v>
      </c>
      <c r="C1603" t="s">
        <v>419</v>
      </c>
      <c r="D1603" t="s">
        <v>411</v>
      </c>
    </row>
    <row r="1604">
      <c r="A1604" t="s">
        <v>399</v>
      </c>
      <c r="B1604" t="s">
        <v>1333</v>
      </c>
      <c r="C1604" t="s">
        <v>419</v>
      </c>
      <c r="D1604" t="s">
        <v>411</v>
      </c>
    </row>
    <row r="1605">
      <c r="A1605" t="s">
        <v>399</v>
      </c>
      <c r="B1605" t="s">
        <v>1334</v>
      </c>
      <c r="C1605" t="s">
        <v>419</v>
      </c>
      <c r="D1605" t="s">
        <v>411</v>
      </c>
    </row>
    <row r="1606">
      <c r="A1606" t="s">
        <v>399</v>
      </c>
      <c r="B1606" t="s">
        <v>1335</v>
      </c>
      <c r="C1606" t="s">
        <v>419</v>
      </c>
      <c r="D1606" t="s">
        <v>411</v>
      </c>
    </row>
    <row r="1607">
      <c r="A1607" t="s">
        <v>399</v>
      </c>
      <c r="B1607" t="s">
        <v>1336</v>
      </c>
      <c r="C1607" t="s">
        <v>419</v>
      </c>
      <c r="D1607" t="s">
        <v>411</v>
      </c>
    </row>
    <row r="1608">
      <c r="A1608" t="s">
        <v>399</v>
      </c>
      <c r="B1608" t="s">
        <v>1337</v>
      </c>
      <c r="C1608" t="s">
        <v>419</v>
      </c>
      <c r="D1608" t="s">
        <v>411</v>
      </c>
    </row>
    <row r="1609">
      <c r="A1609" t="s">
        <v>399</v>
      </c>
      <c r="B1609" t="s">
        <v>1338</v>
      </c>
      <c r="C1609" t="s">
        <v>419</v>
      </c>
      <c r="D1609" t="s">
        <v>411</v>
      </c>
    </row>
    <row r="1610">
      <c r="A1610" t="s">
        <v>399</v>
      </c>
      <c r="B1610" t="s">
        <v>1339</v>
      </c>
      <c r="C1610" t="s">
        <v>419</v>
      </c>
      <c r="D1610" t="s">
        <v>411</v>
      </c>
    </row>
    <row r="1611">
      <c r="A1611" t="s">
        <v>399</v>
      </c>
      <c r="B1611" t="s">
        <v>1340</v>
      </c>
      <c r="C1611" t="s">
        <v>419</v>
      </c>
      <c r="D1611" t="s">
        <v>411</v>
      </c>
    </row>
    <row r="1612">
      <c r="A1612" t="s">
        <v>399</v>
      </c>
      <c r="B1612" t="s">
        <v>1341</v>
      </c>
      <c r="C1612" t="s">
        <v>419</v>
      </c>
      <c r="D1612" t="s">
        <v>411</v>
      </c>
    </row>
    <row r="1613">
      <c r="A1613" t="s">
        <v>399</v>
      </c>
      <c r="B1613" t="s">
        <v>1342</v>
      </c>
      <c r="C1613" t="s">
        <v>419</v>
      </c>
      <c r="D1613" t="s">
        <v>411</v>
      </c>
    </row>
    <row r="1614">
      <c r="A1614" t="s">
        <v>399</v>
      </c>
      <c r="B1614" t="s">
        <v>1343</v>
      </c>
      <c r="C1614" t="s">
        <v>419</v>
      </c>
      <c r="D1614" t="s">
        <v>411</v>
      </c>
    </row>
    <row r="1615">
      <c r="A1615" t="s">
        <v>399</v>
      </c>
      <c r="B1615" t="s">
        <v>1344</v>
      </c>
      <c r="C1615" t="s">
        <v>419</v>
      </c>
      <c r="D1615" t="s">
        <v>411</v>
      </c>
    </row>
    <row r="1616">
      <c r="A1616" t="s">
        <v>399</v>
      </c>
      <c r="B1616" t="s">
        <v>1345</v>
      </c>
      <c r="C1616" t="s">
        <v>419</v>
      </c>
      <c r="D1616" t="s">
        <v>411</v>
      </c>
    </row>
    <row r="1617">
      <c r="A1617" t="s">
        <v>399</v>
      </c>
      <c r="B1617" t="s">
        <v>1346</v>
      </c>
      <c r="C1617" t="s">
        <v>473</v>
      </c>
      <c r="D1617" t="s">
        <v>411</v>
      </c>
    </row>
    <row r="1618">
      <c r="A1618" t="s">
        <v>399</v>
      </c>
      <c r="B1618" t="s">
        <v>1347</v>
      </c>
      <c r="C1618" t="s">
        <v>473</v>
      </c>
      <c r="D1618" t="s">
        <v>411</v>
      </c>
    </row>
    <row r="1619">
      <c r="A1619" t="s">
        <v>399</v>
      </c>
      <c r="B1619" t="s">
        <v>1348</v>
      </c>
      <c r="C1619" t="s">
        <v>473</v>
      </c>
      <c r="D1619" t="s">
        <v>411</v>
      </c>
    </row>
    <row r="1620">
      <c r="A1620" t="s">
        <v>399</v>
      </c>
      <c r="B1620" t="s">
        <v>1349</v>
      </c>
      <c r="C1620" t="s">
        <v>473</v>
      </c>
      <c r="D1620" t="s">
        <v>411</v>
      </c>
    </row>
    <row r="1621">
      <c r="A1621" t="s">
        <v>399</v>
      </c>
      <c r="B1621" t="s">
        <v>1350</v>
      </c>
      <c r="C1621" t="s">
        <v>473</v>
      </c>
      <c r="D1621" t="s">
        <v>411</v>
      </c>
    </row>
    <row r="1622">
      <c r="A1622" t="s">
        <v>401</v>
      </c>
      <c r="B1622" t="s">
        <v>1029</v>
      </c>
      <c r="C1622" t="s">
        <v>910</v>
      </c>
      <c r="D1622" t="s">
        <v>408</v>
      </c>
    </row>
    <row r="1623">
      <c r="A1623" t="s">
        <v>402</v>
      </c>
      <c r="B1623" t="s">
        <v>1351</v>
      </c>
      <c r="C1623" t="s">
        <v>413</v>
      </c>
      <c r="D1623" t="s">
        <v>408</v>
      </c>
    </row>
    <row r="1624">
      <c r="A1624" t="s">
        <v>402</v>
      </c>
      <c r="B1624" t="s">
        <v>1352</v>
      </c>
      <c r="C1624" t="s">
        <v>410</v>
      </c>
      <c r="D1624" t="s">
        <v>411</v>
      </c>
    </row>
    <row r="1625">
      <c r="A1625" t="s">
        <v>402</v>
      </c>
      <c r="B1625" t="s">
        <v>1353</v>
      </c>
      <c r="C1625" t="s">
        <v>473</v>
      </c>
      <c r="D1625" t="s">
        <v>411</v>
      </c>
    </row>
    <row r="1626">
      <c r="A1626" t="s">
        <v>402</v>
      </c>
      <c r="B1626" t="s">
        <v>1354</v>
      </c>
      <c r="C1626" t="s">
        <v>410</v>
      </c>
      <c r="D1626" t="s">
        <v>411</v>
      </c>
    </row>
    <row r="1627">
      <c r="A1627" t="s">
        <v>402</v>
      </c>
      <c r="B1627" t="s">
        <v>1355</v>
      </c>
      <c r="C1627" t="s">
        <v>410</v>
      </c>
      <c r="D1627" t="s">
        <v>411</v>
      </c>
    </row>
    <row r="1628">
      <c r="A1628" t="s">
        <v>402</v>
      </c>
      <c r="B1628" t="s">
        <v>1356</v>
      </c>
      <c r="C1628" t="s">
        <v>410</v>
      </c>
      <c r="D1628" t="s">
        <v>411</v>
      </c>
    </row>
    <row r="1629">
      <c r="A1629" t="s">
        <v>402</v>
      </c>
      <c r="B1629" t="s">
        <v>571</v>
      </c>
      <c r="C1629" t="s">
        <v>505</v>
      </c>
      <c r="D1629" t="s">
        <v>408</v>
      </c>
    </row>
    <row r="1630">
      <c r="A1630" t="s">
        <v>402</v>
      </c>
      <c r="B1630" t="s">
        <v>1357</v>
      </c>
      <c r="C1630" t="s">
        <v>410</v>
      </c>
      <c r="D1630" t="s">
        <v>411</v>
      </c>
    </row>
    <row r="1631">
      <c r="A1631" t="s">
        <v>402</v>
      </c>
      <c r="B1631" t="s">
        <v>1358</v>
      </c>
      <c r="C1631" t="s">
        <v>491</v>
      </c>
      <c r="D1631" t="s">
        <v>408</v>
      </c>
    </row>
    <row r="1632">
      <c r="A1632" t="s">
        <v>402</v>
      </c>
      <c r="B1632" t="s">
        <v>1359</v>
      </c>
      <c r="C1632" t="s">
        <v>491</v>
      </c>
      <c r="D1632" t="s">
        <v>408</v>
      </c>
    </row>
    <row r="1633">
      <c r="A1633" t="s">
        <v>402</v>
      </c>
      <c r="B1633" t="s">
        <v>1360</v>
      </c>
      <c r="C1633" t="s">
        <v>491</v>
      </c>
      <c r="D1633" t="s">
        <v>408</v>
      </c>
    </row>
    <row r="1634">
      <c r="A1634" t="s">
        <v>402</v>
      </c>
      <c r="B1634" t="s">
        <v>1361</v>
      </c>
      <c r="C1634" t="s">
        <v>491</v>
      </c>
      <c r="D1634" t="s">
        <v>408</v>
      </c>
    </row>
    <row r="1635">
      <c r="A1635" t="s">
        <v>402</v>
      </c>
      <c r="B1635" t="s">
        <v>573</v>
      </c>
      <c r="C1635" t="s">
        <v>489</v>
      </c>
      <c r="D1635" t="s">
        <v>408</v>
      </c>
    </row>
    <row r="1636">
      <c r="A1636" t="s">
        <v>404</v>
      </c>
      <c r="B1636" t="s">
        <v>468</v>
      </c>
      <c r="C1636" t="s">
        <v>469</v>
      </c>
      <c r="D1636" t="s">
        <v>408</v>
      </c>
    </row>
    <row r="1637">
      <c r="A1637" t="s">
        <v>404</v>
      </c>
      <c r="B1637" t="s">
        <v>470</v>
      </c>
      <c r="C1637" t="s">
        <v>471</v>
      </c>
      <c r="D1637" t="s">
        <v>408</v>
      </c>
    </row>
  </sheetData>
  <autoFilter ref="A1:F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"/>
  <sheetViews>
    <sheetView zoomScale="80" zoomScaleNormal="80" workbookViewId="0">
      <selection sqref="A1:R1"/>
    </sheetView>
  </sheetViews>
  <sheetFormatPr defaultRowHeight="15" x14ac:dyDescent="0.25"/>
  <cols>
    <col min="16" max="16" customWidth="true" width="104.0" collapsed="true"/>
  </cols>
  <sheetData>
    <row r="1" spans="1:18" ht="16.5" thickTop="1" thickBot="1" x14ac:dyDescent="0.3">
      <c r="A1" s="63" t="s">
        <v>302</v>
      </c>
      <c r="B1" s="63" t="s">
        <v>303</v>
      </c>
      <c r="C1" s="63" t="s">
        <v>304</v>
      </c>
      <c r="D1" s="63" t="s">
        <v>305</v>
      </c>
      <c r="E1" s="63" t="s">
        <v>306</v>
      </c>
      <c r="F1" s="63" t="s">
        <v>307</v>
      </c>
      <c r="G1" s="63" t="s">
        <v>308</v>
      </c>
      <c r="H1" s="63" t="s">
        <v>309</v>
      </c>
      <c r="I1" s="67" t="s">
        <v>310</v>
      </c>
      <c r="J1" s="63" t="s">
        <v>311</v>
      </c>
      <c r="K1" s="63" t="s">
        <v>312</v>
      </c>
      <c r="L1" s="67" t="s">
        <v>313</v>
      </c>
      <c r="M1" s="63" t="s">
        <v>314</v>
      </c>
      <c r="N1" s="63" t="s">
        <v>295</v>
      </c>
      <c r="O1" s="63" t="s">
        <v>315</v>
      </c>
      <c r="P1" s="63" t="s">
        <v>316</v>
      </c>
      <c r="Q1" s="68" t="s">
        <v>317</v>
      </c>
      <c r="R1" s="69" t="s">
        <v>201</v>
      </c>
    </row>
    <row r="2">
      <c r="A2" t="s">
        <v>1362</v>
      </c>
      <c r="B2" t="s">
        <v>1363</v>
      </c>
      <c r="C2" t="s">
        <v>1364</v>
      </c>
      <c r="D2" t="s">
        <v>1365</v>
      </c>
      <c r="E2" t="s">
        <v>1363</v>
      </c>
      <c r="F2" t="s">
        <v>1366</v>
      </c>
      <c r="G2" t="s">
        <v>1367</v>
      </c>
      <c r="H2" t="s">
        <v>1368</v>
      </c>
      <c r="I2" t="s">
        <v>1369</v>
      </c>
      <c r="J2" t="s">
        <v>1370</v>
      </c>
      <c r="K2" t="s">
        <v>1369</v>
      </c>
      <c r="L2" t="s">
        <v>1369</v>
      </c>
      <c r="M2" t="s">
        <v>1369</v>
      </c>
      <c r="N2" t="s">
        <v>1371</v>
      </c>
      <c r="O2"/>
      <c r="P2" t="s">
        <v>1372</v>
      </c>
    </row>
    <row r="3">
      <c r="A3" t="s">
        <v>1362</v>
      </c>
      <c r="B3" t="s">
        <v>1373</v>
      </c>
      <c r="C3" t="s">
        <v>1364</v>
      </c>
      <c r="D3" t="s">
        <v>1365</v>
      </c>
      <c r="E3" t="s">
        <v>1373</v>
      </c>
      <c r="F3" t="s">
        <v>1366</v>
      </c>
      <c r="G3" t="s">
        <v>1367</v>
      </c>
      <c r="H3" t="s">
        <v>1374</v>
      </c>
      <c r="I3" t="s">
        <v>1369</v>
      </c>
      <c r="J3" t="s">
        <v>225</v>
      </c>
      <c r="K3" t="s">
        <v>1369</v>
      </c>
      <c r="L3" t="s">
        <v>1369</v>
      </c>
      <c r="M3" t="s">
        <v>1369</v>
      </c>
      <c r="N3" t="s">
        <v>1371</v>
      </c>
      <c r="O3"/>
      <c r="P3" t="s">
        <v>1375</v>
      </c>
    </row>
    <row r="4">
      <c r="A4" t="s">
        <v>1362</v>
      </c>
      <c r="B4" t="s">
        <v>1376</v>
      </c>
      <c r="C4" t="s">
        <v>1364</v>
      </c>
      <c r="D4" t="s">
        <v>1365</v>
      </c>
      <c r="E4" t="s">
        <v>1376</v>
      </c>
      <c r="F4" t="s">
        <v>1366</v>
      </c>
      <c r="G4" t="s">
        <v>1367</v>
      </c>
      <c r="H4" t="s">
        <v>1377</v>
      </c>
      <c r="I4" t="s">
        <v>1369</v>
      </c>
      <c r="J4" t="s">
        <v>1378</v>
      </c>
      <c r="K4" t="s">
        <v>1369</v>
      </c>
      <c r="L4" t="s">
        <v>1369</v>
      </c>
      <c r="M4" t="s">
        <v>1369</v>
      </c>
      <c r="N4" t="s">
        <v>1371</v>
      </c>
      <c r="O4"/>
      <c r="P4" t="s">
        <v>1379</v>
      </c>
    </row>
    <row r="5">
      <c r="A5" t="s">
        <v>1362</v>
      </c>
      <c r="B5" t="s">
        <v>1380</v>
      </c>
      <c r="C5" t="s">
        <v>1364</v>
      </c>
      <c r="D5" t="s">
        <v>1365</v>
      </c>
      <c r="E5" t="s">
        <v>1380</v>
      </c>
      <c r="F5" t="s">
        <v>1366</v>
      </c>
      <c r="G5" t="s">
        <v>1367</v>
      </c>
      <c r="H5" t="s">
        <v>1377</v>
      </c>
      <c r="I5" t="s">
        <v>1369</v>
      </c>
      <c r="J5" t="s">
        <v>1370</v>
      </c>
      <c r="K5" t="s">
        <v>1381</v>
      </c>
      <c r="L5" t="s">
        <v>1369</v>
      </c>
      <c r="M5" t="s">
        <v>1369</v>
      </c>
      <c r="N5" t="s">
        <v>1371</v>
      </c>
      <c r="O5"/>
      <c r="P5" t="s">
        <v>1382</v>
      </c>
    </row>
    <row r="6">
      <c r="A6" t="s">
        <v>1362</v>
      </c>
      <c r="B6" t="s">
        <v>1383</v>
      </c>
      <c r="C6" t="s">
        <v>1364</v>
      </c>
      <c r="D6" t="s">
        <v>1365</v>
      </c>
      <c r="E6" t="s">
        <v>1383</v>
      </c>
      <c r="F6" t="s">
        <v>1366</v>
      </c>
      <c r="G6" t="s">
        <v>1367</v>
      </c>
      <c r="H6" t="s">
        <v>1377</v>
      </c>
      <c r="I6" t="s">
        <v>1369</v>
      </c>
      <c r="J6" t="s">
        <v>1370</v>
      </c>
      <c r="K6" t="s">
        <v>1369</v>
      </c>
      <c r="L6" t="s">
        <v>1369</v>
      </c>
      <c r="M6" t="s">
        <v>1369</v>
      </c>
      <c r="N6" t="s">
        <v>1371</v>
      </c>
      <c r="O6"/>
      <c r="P6" t="s">
        <v>1384</v>
      </c>
    </row>
    <row r="7">
      <c r="A7" t="s">
        <v>1362</v>
      </c>
      <c r="B7" t="s">
        <v>1385</v>
      </c>
      <c r="C7" t="s">
        <v>1364</v>
      </c>
      <c r="D7" t="s">
        <v>1365</v>
      </c>
      <c r="E7" t="s">
        <v>1385</v>
      </c>
      <c r="F7" t="s">
        <v>1366</v>
      </c>
      <c r="G7" t="s">
        <v>1367</v>
      </c>
      <c r="H7" t="s">
        <v>1386</v>
      </c>
      <c r="I7" t="s">
        <v>1369</v>
      </c>
      <c r="J7" t="s">
        <v>177</v>
      </c>
      <c r="K7" t="s">
        <v>1369</v>
      </c>
      <c r="L7" t="s">
        <v>1369</v>
      </c>
      <c r="M7" t="s">
        <v>1369</v>
      </c>
      <c r="N7" t="s">
        <v>1371</v>
      </c>
      <c r="O7"/>
      <c r="P7" t="s">
        <v>1387</v>
      </c>
    </row>
    <row r="8">
      <c r="A8" t="s">
        <v>1362</v>
      </c>
      <c r="B8" t="s">
        <v>1388</v>
      </c>
      <c r="C8" t="s">
        <v>1364</v>
      </c>
      <c r="D8" t="s">
        <v>1365</v>
      </c>
      <c r="E8" t="s">
        <v>1388</v>
      </c>
      <c r="F8" t="s">
        <v>1366</v>
      </c>
      <c r="G8" t="s">
        <v>1367</v>
      </c>
      <c r="H8" t="s">
        <v>1389</v>
      </c>
      <c r="I8" t="s">
        <v>1369</v>
      </c>
      <c r="J8" t="s">
        <v>177</v>
      </c>
      <c r="K8" t="s">
        <v>1369</v>
      </c>
      <c r="L8" t="s">
        <v>1369</v>
      </c>
      <c r="M8" t="s">
        <v>1369</v>
      </c>
      <c r="N8" t="s">
        <v>1371</v>
      </c>
      <c r="O8"/>
      <c r="P8" t="s">
        <v>1390</v>
      </c>
    </row>
    <row r="9">
      <c r="A9" t="s">
        <v>1362</v>
      </c>
      <c r="B9" t="s">
        <v>1391</v>
      </c>
      <c r="C9" t="s">
        <v>1392</v>
      </c>
      <c r="D9" t="s">
        <v>331</v>
      </c>
      <c r="E9" t="s">
        <v>1365</v>
      </c>
      <c r="F9" t="s">
        <v>1366</v>
      </c>
      <c r="G9" t="s">
        <v>496</v>
      </c>
      <c r="H9" t="s">
        <v>1393</v>
      </c>
      <c r="I9" t="s">
        <v>1369</v>
      </c>
      <c r="J9" t="s">
        <v>1370</v>
      </c>
      <c r="K9" t="s">
        <v>1381</v>
      </c>
      <c r="L9" t="s">
        <v>1369</v>
      </c>
      <c r="M9" t="s">
        <v>1369</v>
      </c>
      <c r="N9" t="s">
        <v>332</v>
      </c>
      <c r="O9"/>
      <c r="P9" t="s">
        <v>1394</v>
      </c>
    </row>
    <row r="10">
      <c r="A10" t="s">
        <v>1362</v>
      </c>
      <c r="B10" t="s">
        <v>1395</v>
      </c>
      <c r="C10" t="s">
        <v>1396</v>
      </c>
      <c r="D10" t="s">
        <v>331</v>
      </c>
      <c r="E10" t="s">
        <v>1363</v>
      </c>
      <c r="F10" t="s">
        <v>1366</v>
      </c>
      <c r="G10" t="s">
        <v>1367</v>
      </c>
      <c r="H10" t="s">
        <v>1374</v>
      </c>
      <c r="I10" t="s">
        <v>1369</v>
      </c>
      <c r="J10" t="s">
        <v>1370</v>
      </c>
      <c r="K10" t="s">
        <v>1369</v>
      </c>
      <c r="L10" t="s">
        <v>1369</v>
      </c>
      <c r="M10" t="s">
        <v>1369</v>
      </c>
      <c r="N10" t="s">
        <v>332</v>
      </c>
      <c r="O10"/>
      <c r="P10" t="s">
        <v>1397</v>
      </c>
    </row>
    <row r="11">
      <c r="A11" t="s">
        <v>1362</v>
      </c>
      <c r="B11" t="s">
        <v>1398</v>
      </c>
      <c r="C11" t="s">
        <v>1396</v>
      </c>
      <c r="D11" t="s">
        <v>367</v>
      </c>
      <c r="E11" t="s">
        <v>1363</v>
      </c>
      <c r="F11" t="s">
        <v>1366</v>
      </c>
      <c r="G11" t="s">
        <v>1367</v>
      </c>
      <c r="H11" t="s">
        <v>1374</v>
      </c>
      <c r="I11" t="s">
        <v>1369</v>
      </c>
      <c r="J11" t="s">
        <v>1370</v>
      </c>
      <c r="K11" t="s">
        <v>1369</v>
      </c>
      <c r="L11" t="s">
        <v>1369</v>
      </c>
      <c r="M11" t="s">
        <v>1369</v>
      </c>
      <c r="N11" t="s">
        <v>332</v>
      </c>
      <c r="O11"/>
      <c r="P11" t="s">
        <v>1397</v>
      </c>
    </row>
    <row r="12">
      <c r="A12" t="s">
        <v>1362</v>
      </c>
      <c r="B12" t="s">
        <v>1399</v>
      </c>
      <c r="C12" t="s">
        <v>1396</v>
      </c>
      <c r="D12" t="s">
        <v>382</v>
      </c>
      <c r="E12" t="s">
        <v>1363</v>
      </c>
      <c r="F12" t="s">
        <v>1366</v>
      </c>
      <c r="G12" t="s">
        <v>1367</v>
      </c>
      <c r="H12" t="s">
        <v>1374</v>
      </c>
      <c r="I12" t="s">
        <v>1369</v>
      </c>
      <c r="J12" t="s">
        <v>1370</v>
      </c>
      <c r="K12" t="s">
        <v>1369</v>
      </c>
      <c r="L12" t="s">
        <v>1369</v>
      </c>
      <c r="M12" t="s">
        <v>1369</v>
      </c>
      <c r="N12" t="s">
        <v>332</v>
      </c>
      <c r="O12"/>
      <c r="P12" t="s">
        <v>1397</v>
      </c>
    </row>
    <row r="13">
      <c r="A13" t="s">
        <v>1362</v>
      </c>
      <c r="B13" t="s">
        <v>1400</v>
      </c>
      <c r="C13" t="s">
        <v>1396</v>
      </c>
      <c r="D13" t="s">
        <v>359</v>
      </c>
      <c r="E13" t="s">
        <v>1363</v>
      </c>
      <c r="F13" t="s">
        <v>1366</v>
      </c>
      <c r="G13" t="s">
        <v>1367</v>
      </c>
      <c r="H13" t="s">
        <v>1374</v>
      </c>
      <c r="I13" t="s">
        <v>1369</v>
      </c>
      <c r="J13" t="s">
        <v>1370</v>
      </c>
      <c r="K13" t="s">
        <v>1369</v>
      </c>
      <c r="L13" t="s">
        <v>1369</v>
      </c>
      <c r="M13" t="s">
        <v>1369</v>
      </c>
      <c r="N13" t="s">
        <v>328</v>
      </c>
      <c r="O13"/>
      <c r="P13" t="s">
        <v>1401</v>
      </c>
    </row>
    <row r="14">
      <c r="A14" t="s">
        <v>1362</v>
      </c>
      <c r="B14" t="s">
        <v>1402</v>
      </c>
      <c r="C14" t="s">
        <v>1396</v>
      </c>
      <c r="D14" t="s">
        <v>362</v>
      </c>
      <c r="E14" t="s">
        <v>1363</v>
      </c>
      <c r="F14" t="s">
        <v>1366</v>
      </c>
      <c r="G14" t="s">
        <v>1367</v>
      </c>
      <c r="H14" t="s">
        <v>1374</v>
      </c>
      <c r="I14" t="s">
        <v>1369</v>
      </c>
      <c r="J14" t="s">
        <v>1370</v>
      </c>
      <c r="K14" t="s">
        <v>1369</v>
      </c>
      <c r="L14" t="s">
        <v>1369</v>
      </c>
      <c r="M14" t="s">
        <v>1369</v>
      </c>
      <c r="N14" t="s">
        <v>328</v>
      </c>
      <c r="O14"/>
      <c r="P14" t="s">
        <v>1401</v>
      </c>
    </row>
    <row r="15">
      <c r="A15" t="s">
        <v>1362</v>
      </c>
      <c r="B15" t="s">
        <v>1403</v>
      </c>
      <c r="C15" t="s">
        <v>1396</v>
      </c>
      <c r="D15" t="s">
        <v>375</v>
      </c>
      <c r="E15" t="s">
        <v>1363</v>
      </c>
      <c r="F15" t="s">
        <v>1366</v>
      </c>
      <c r="G15" t="s">
        <v>1367</v>
      </c>
      <c r="H15" t="s">
        <v>1374</v>
      </c>
      <c r="I15" t="s">
        <v>1369</v>
      </c>
      <c r="J15" t="s">
        <v>1370</v>
      </c>
      <c r="K15" t="s">
        <v>1369</v>
      </c>
      <c r="L15" t="s">
        <v>1369</v>
      </c>
      <c r="M15" t="s">
        <v>1369</v>
      </c>
      <c r="N15" t="s">
        <v>328</v>
      </c>
      <c r="O15"/>
      <c r="P15" t="s">
        <v>1401</v>
      </c>
    </row>
    <row r="16">
      <c r="A16" t="s">
        <v>1362</v>
      </c>
      <c r="B16" t="s">
        <v>1404</v>
      </c>
      <c r="C16" t="s">
        <v>1396</v>
      </c>
      <c r="D16" t="s">
        <v>397</v>
      </c>
      <c r="E16" t="s">
        <v>1363</v>
      </c>
      <c r="F16" t="s">
        <v>1366</v>
      </c>
      <c r="G16" t="s">
        <v>1367</v>
      </c>
      <c r="H16" t="s">
        <v>1374</v>
      </c>
      <c r="I16" t="s">
        <v>1369</v>
      </c>
      <c r="J16" t="s">
        <v>1370</v>
      </c>
      <c r="K16" t="s">
        <v>1369</v>
      </c>
      <c r="L16" t="s">
        <v>1369</v>
      </c>
      <c r="M16" t="s">
        <v>1369</v>
      </c>
      <c r="N16" t="s">
        <v>328</v>
      </c>
      <c r="O16"/>
      <c r="P16" t="s">
        <v>1401</v>
      </c>
    </row>
    <row r="17">
      <c r="A17" t="s">
        <v>1362</v>
      </c>
      <c r="B17" t="s">
        <v>1405</v>
      </c>
      <c r="C17" t="s">
        <v>1396</v>
      </c>
      <c r="D17" t="s">
        <v>327</v>
      </c>
      <c r="E17" t="s">
        <v>1363</v>
      </c>
      <c r="F17" t="s">
        <v>1366</v>
      </c>
      <c r="G17" t="s">
        <v>1367</v>
      </c>
      <c r="H17" t="s">
        <v>1374</v>
      </c>
      <c r="I17" t="s">
        <v>1369</v>
      </c>
      <c r="J17" t="s">
        <v>1370</v>
      </c>
      <c r="K17" t="s">
        <v>1369</v>
      </c>
      <c r="L17" t="s">
        <v>1369</v>
      </c>
      <c r="M17" t="s">
        <v>1369</v>
      </c>
      <c r="N17" t="s">
        <v>328</v>
      </c>
      <c r="O17"/>
      <c r="P17" t="s">
        <v>1406</v>
      </c>
    </row>
    <row r="18">
      <c r="A18" t="s">
        <v>1362</v>
      </c>
      <c r="B18" t="s">
        <v>1407</v>
      </c>
      <c r="C18" t="s">
        <v>1396</v>
      </c>
      <c r="D18" t="s">
        <v>359</v>
      </c>
      <c r="E18" t="s">
        <v>1363</v>
      </c>
      <c r="F18" t="s">
        <v>1366</v>
      </c>
      <c r="G18" t="s">
        <v>1367</v>
      </c>
      <c r="H18" t="s">
        <v>1374</v>
      </c>
      <c r="I18" t="s">
        <v>1369</v>
      </c>
      <c r="J18" t="s">
        <v>1370</v>
      </c>
      <c r="K18" t="s">
        <v>1369</v>
      </c>
      <c r="L18" t="s">
        <v>1369</v>
      </c>
      <c r="M18" t="s">
        <v>1369</v>
      </c>
      <c r="N18" t="s">
        <v>328</v>
      </c>
      <c r="O18"/>
      <c r="P18" t="s">
        <v>1406</v>
      </c>
    </row>
    <row r="19">
      <c r="A19" t="s">
        <v>1362</v>
      </c>
      <c r="B19" t="s">
        <v>1408</v>
      </c>
      <c r="C19" t="s">
        <v>1396</v>
      </c>
      <c r="D19" t="s">
        <v>375</v>
      </c>
      <c r="E19" t="s">
        <v>1363</v>
      </c>
      <c r="F19" t="s">
        <v>1366</v>
      </c>
      <c r="G19" t="s">
        <v>1367</v>
      </c>
      <c r="H19" t="s">
        <v>1374</v>
      </c>
      <c r="I19" t="s">
        <v>1369</v>
      </c>
      <c r="J19" t="s">
        <v>1370</v>
      </c>
      <c r="K19" t="s">
        <v>1369</v>
      </c>
      <c r="L19" t="s">
        <v>1369</v>
      </c>
      <c r="M19" t="s">
        <v>1369</v>
      </c>
      <c r="N19" t="s">
        <v>328</v>
      </c>
      <c r="O19"/>
      <c r="P19" t="s">
        <v>1406</v>
      </c>
    </row>
    <row r="20">
      <c r="A20" t="s">
        <v>1362</v>
      </c>
      <c r="B20" t="s">
        <v>1409</v>
      </c>
      <c r="C20" t="s">
        <v>1396</v>
      </c>
      <c r="D20" t="s">
        <v>339</v>
      </c>
      <c r="E20" t="s">
        <v>1363</v>
      </c>
      <c r="F20" t="s">
        <v>1366</v>
      </c>
      <c r="G20" t="s">
        <v>1367</v>
      </c>
      <c r="H20" t="s">
        <v>1374</v>
      </c>
      <c r="I20" t="s">
        <v>1369</v>
      </c>
      <c r="J20" t="s">
        <v>1370</v>
      </c>
      <c r="K20" t="s">
        <v>1369</v>
      </c>
      <c r="L20" t="s">
        <v>1369</v>
      </c>
      <c r="M20" t="s">
        <v>1369</v>
      </c>
      <c r="N20" t="s">
        <v>328</v>
      </c>
      <c r="O20"/>
      <c r="P20" t="s">
        <v>1410</v>
      </c>
    </row>
    <row r="21">
      <c r="A21" t="s">
        <v>1362</v>
      </c>
      <c r="B21" t="s">
        <v>1411</v>
      </c>
      <c r="C21" t="s">
        <v>1396</v>
      </c>
      <c r="D21" t="s">
        <v>359</v>
      </c>
      <c r="E21" t="s">
        <v>1363</v>
      </c>
      <c r="F21" t="s">
        <v>1366</v>
      </c>
      <c r="G21" t="s">
        <v>1367</v>
      </c>
      <c r="H21" t="s">
        <v>1374</v>
      </c>
      <c r="I21" t="s">
        <v>1369</v>
      </c>
      <c r="J21" t="s">
        <v>1370</v>
      </c>
      <c r="K21" t="s">
        <v>1369</v>
      </c>
      <c r="L21" t="s">
        <v>1369</v>
      </c>
      <c r="M21" t="s">
        <v>1369</v>
      </c>
      <c r="N21" t="s">
        <v>328</v>
      </c>
      <c r="O21"/>
      <c r="P21" t="s">
        <v>1410</v>
      </c>
    </row>
    <row r="22">
      <c r="A22" t="s">
        <v>1362</v>
      </c>
      <c r="B22" t="s">
        <v>1412</v>
      </c>
      <c r="C22" t="s">
        <v>1396</v>
      </c>
      <c r="D22" t="s">
        <v>375</v>
      </c>
      <c r="E22" t="s">
        <v>1363</v>
      </c>
      <c r="F22" t="s">
        <v>1366</v>
      </c>
      <c r="G22" t="s">
        <v>1367</v>
      </c>
      <c r="H22" t="s">
        <v>1374</v>
      </c>
      <c r="I22" t="s">
        <v>1369</v>
      </c>
      <c r="J22" t="s">
        <v>1370</v>
      </c>
      <c r="K22" t="s">
        <v>1369</v>
      </c>
      <c r="L22" t="s">
        <v>1369</v>
      </c>
      <c r="M22" t="s">
        <v>1369</v>
      </c>
      <c r="N22" t="s">
        <v>328</v>
      </c>
      <c r="O22"/>
      <c r="P22" t="s">
        <v>1410</v>
      </c>
    </row>
    <row r="23">
      <c r="A23" t="s">
        <v>1362</v>
      </c>
      <c r="B23" t="s">
        <v>1413</v>
      </c>
      <c r="C23" t="s">
        <v>1396</v>
      </c>
      <c r="D23" t="s">
        <v>327</v>
      </c>
      <c r="E23" t="s">
        <v>1363</v>
      </c>
      <c r="F23" t="s">
        <v>1366</v>
      </c>
      <c r="G23" t="s">
        <v>1367</v>
      </c>
      <c r="H23" t="s">
        <v>1374</v>
      </c>
      <c r="I23" t="s">
        <v>1369</v>
      </c>
      <c r="J23" t="s">
        <v>1370</v>
      </c>
      <c r="K23" t="s">
        <v>1369</v>
      </c>
      <c r="L23" t="s">
        <v>1369</v>
      </c>
      <c r="M23" t="s">
        <v>1369</v>
      </c>
      <c r="N23" t="s">
        <v>328</v>
      </c>
      <c r="O23"/>
      <c r="P23" t="s">
        <v>1414</v>
      </c>
    </row>
    <row r="24">
      <c r="A24" t="s">
        <v>1362</v>
      </c>
      <c r="B24" t="s">
        <v>1415</v>
      </c>
      <c r="C24" t="s">
        <v>1396</v>
      </c>
      <c r="D24" t="s">
        <v>357</v>
      </c>
      <c r="E24" t="s">
        <v>1363</v>
      </c>
      <c r="F24" t="s">
        <v>1366</v>
      </c>
      <c r="G24" t="s">
        <v>1367</v>
      </c>
      <c r="H24" t="s">
        <v>1374</v>
      </c>
      <c r="I24" t="s">
        <v>1369</v>
      </c>
      <c r="J24" t="s">
        <v>1370</v>
      </c>
      <c r="K24" t="s">
        <v>1369</v>
      </c>
      <c r="L24" t="s">
        <v>1369</v>
      </c>
      <c r="M24" t="s">
        <v>1369</v>
      </c>
      <c r="N24" t="s">
        <v>328</v>
      </c>
      <c r="O24"/>
      <c r="P24" t="s">
        <v>1414</v>
      </c>
    </row>
    <row r="25">
      <c r="A25" t="s">
        <v>1362</v>
      </c>
      <c r="B25" t="s">
        <v>1416</v>
      </c>
      <c r="C25" t="s">
        <v>1396</v>
      </c>
      <c r="D25" t="s">
        <v>359</v>
      </c>
      <c r="E25" t="s">
        <v>1363</v>
      </c>
      <c r="F25" t="s">
        <v>1366</v>
      </c>
      <c r="G25" t="s">
        <v>1367</v>
      </c>
      <c r="H25" t="s">
        <v>1374</v>
      </c>
      <c r="I25" t="s">
        <v>1369</v>
      </c>
      <c r="J25" t="s">
        <v>1370</v>
      </c>
      <c r="K25" t="s">
        <v>1369</v>
      </c>
      <c r="L25" t="s">
        <v>1369</v>
      </c>
      <c r="M25" t="s">
        <v>1369</v>
      </c>
      <c r="N25" t="s">
        <v>328</v>
      </c>
      <c r="O25"/>
      <c r="P25" t="s">
        <v>1414</v>
      </c>
    </row>
    <row r="26">
      <c r="A26" t="s">
        <v>1362</v>
      </c>
      <c r="B26" t="s">
        <v>1417</v>
      </c>
      <c r="C26" t="s">
        <v>1396</v>
      </c>
      <c r="D26" t="s">
        <v>375</v>
      </c>
      <c r="E26" t="s">
        <v>1363</v>
      </c>
      <c r="F26" t="s">
        <v>1366</v>
      </c>
      <c r="G26" t="s">
        <v>1367</v>
      </c>
      <c r="H26" t="s">
        <v>1374</v>
      </c>
      <c r="I26" t="s">
        <v>1369</v>
      </c>
      <c r="J26" t="s">
        <v>1370</v>
      </c>
      <c r="K26" t="s">
        <v>1369</v>
      </c>
      <c r="L26" t="s">
        <v>1369</v>
      </c>
      <c r="M26" t="s">
        <v>1369</v>
      </c>
      <c r="N26" t="s">
        <v>328</v>
      </c>
      <c r="O26"/>
      <c r="P26" t="s">
        <v>1414</v>
      </c>
    </row>
    <row r="27">
      <c r="A27" t="s">
        <v>1362</v>
      </c>
      <c r="B27" t="s">
        <v>1418</v>
      </c>
      <c r="C27" t="s">
        <v>1396</v>
      </c>
      <c r="D27" t="s">
        <v>327</v>
      </c>
      <c r="E27" t="s">
        <v>1363</v>
      </c>
      <c r="F27" t="s">
        <v>1366</v>
      </c>
      <c r="G27" t="s">
        <v>1367</v>
      </c>
      <c r="H27" t="s">
        <v>1374</v>
      </c>
      <c r="I27" t="s">
        <v>1369</v>
      </c>
      <c r="J27" t="s">
        <v>1370</v>
      </c>
      <c r="K27" t="s">
        <v>1369</v>
      </c>
      <c r="L27" t="s">
        <v>1369</v>
      </c>
      <c r="M27" t="s">
        <v>1369</v>
      </c>
      <c r="N27" t="s">
        <v>328</v>
      </c>
      <c r="O27"/>
      <c r="P27" t="s">
        <v>1419</v>
      </c>
    </row>
    <row r="28">
      <c r="A28" t="s">
        <v>1362</v>
      </c>
      <c r="B28" t="s">
        <v>1420</v>
      </c>
      <c r="C28" t="s">
        <v>1396</v>
      </c>
      <c r="D28" t="s">
        <v>359</v>
      </c>
      <c r="E28" t="s">
        <v>1363</v>
      </c>
      <c r="F28" t="s">
        <v>1366</v>
      </c>
      <c r="G28" t="s">
        <v>1367</v>
      </c>
      <c r="H28" t="s">
        <v>1374</v>
      </c>
      <c r="I28" t="s">
        <v>1369</v>
      </c>
      <c r="J28" t="s">
        <v>1370</v>
      </c>
      <c r="K28" t="s">
        <v>1369</v>
      </c>
      <c r="L28" t="s">
        <v>1369</v>
      </c>
      <c r="M28" t="s">
        <v>1369</v>
      </c>
      <c r="N28" t="s">
        <v>328</v>
      </c>
      <c r="O28"/>
      <c r="P28" t="s">
        <v>1419</v>
      </c>
    </row>
    <row r="29">
      <c r="A29" t="s">
        <v>1362</v>
      </c>
      <c r="B29" t="s">
        <v>1421</v>
      </c>
      <c r="C29" t="s">
        <v>1396</v>
      </c>
      <c r="D29" t="s">
        <v>375</v>
      </c>
      <c r="E29" t="s">
        <v>1363</v>
      </c>
      <c r="F29" t="s">
        <v>1366</v>
      </c>
      <c r="G29" t="s">
        <v>1367</v>
      </c>
      <c r="H29" t="s">
        <v>1374</v>
      </c>
      <c r="I29" t="s">
        <v>1369</v>
      </c>
      <c r="J29" t="s">
        <v>1370</v>
      </c>
      <c r="K29" t="s">
        <v>1369</v>
      </c>
      <c r="L29" t="s">
        <v>1369</v>
      </c>
      <c r="M29" t="s">
        <v>1369</v>
      </c>
      <c r="N29" t="s">
        <v>328</v>
      </c>
      <c r="O29"/>
      <c r="P29" t="s">
        <v>1419</v>
      </c>
    </row>
    <row r="30">
      <c r="A30" t="s">
        <v>1362</v>
      </c>
      <c r="B30" t="s">
        <v>1422</v>
      </c>
      <c r="C30" t="s">
        <v>1396</v>
      </c>
      <c r="D30" t="s">
        <v>339</v>
      </c>
      <c r="E30" t="s">
        <v>1363</v>
      </c>
      <c r="F30" t="s">
        <v>1366</v>
      </c>
      <c r="G30" t="s">
        <v>1367</v>
      </c>
      <c r="H30" t="s">
        <v>1374</v>
      </c>
      <c r="I30" t="s">
        <v>1369</v>
      </c>
      <c r="J30" t="s">
        <v>1370</v>
      </c>
      <c r="K30" t="s">
        <v>1369</v>
      </c>
      <c r="L30" t="s">
        <v>1369</v>
      </c>
      <c r="M30" t="s">
        <v>1369</v>
      </c>
      <c r="N30" t="s">
        <v>328</v>
      </c>
      <c r="O30"/>
      <c r="P30" t="s">
        <v>1423</v>
      </c>
    </row>
    <row r="31">
      <c r="A31" t="s">
        <v>1362</v>
      </c>
      <c r="B31" t="s">
        <v>1424</v>
      </c>
      <c r="C31" t="s">
        <v>1396</v>
      </c>
      <c r="D31" t="s">
        <v>359</v>
      </c>
      <c r="E31" t="s">
        <v>1363</v>
      </c>
      <c r="F31" t="s">
        <v>1366</v>
      </c>
      <c r="G31" t="s">
        <v>1367</v>
      </c>
      <c r="H31" t="s">
        <v>1374</v>
      </c>
      <c r="I31" t="s">
        <v>1369</v>
      </c>
      <c r="J31" t="s">
        <v>1370</v>
      </c>
      <c r="K31" t="s">
        <v>1369</v>
      </c>
      <c r="L31" t="s">
        <v>1369</v>
      </c>
      <c r="M31" t="s">
        <v>1369</v>
      </c>
      <c r="N31" t="s">
        <v>328</v>
      </c>
      <c r="O31"/>
      <c r="P31" t="s">
        <v>1423</v>
      </c>
    </row>
    <row r="32">
      <c r="A32" t="s">
        <v>1362</v>
      </c>
      <c r="B32" t="s">
        <v>1425</v>
      </c>
      <c r="C32" t="s">
        <v>1396</v>
      </c>
      <c r="D32" t="s">
        <v>375</v>
      </c>
      <c r="E32" t="s">
        <v>1363</v>
      </c>
      <c r="F32" t="s">
        <v>1366</v>
      </c>
      <c r="G32" t="s">
        <v>1367</v>
      </c>
      <c r="H32" t="s">
        <v>1374</v>
      </c>
      <c r="I32" t="s">
        <v>1369</v>
      </c>
      <c r="J32" t="s">
        <v>1370</v>
      </c>
      <c r="K32" t="s">
        <v>1369</v>
      </c>
      <c r="L32" t="s">
        <v>1369</v>
      </c>
      <c r="M32" t="s">
        <v>1369</v>
      </c>
      <c r="N32" t="s">
        <v>328</v>
      </c>
      <c r="O32"/>
      <c r="P32" t="s">
        <v>1423</v>
      </c>
    </row>
    <row r="33">
      <c r="A33" t="s">
        <v>1362</v>
      </c>
      <c r="B33" t="s">
        <v>1426</v>
      </c>
      <c r="C33" t="s">
        <v>1396</v>
      </c>
      <c r="D33" t="s">
        <v>357</v>
      </c>
      <c r="E33" t="s">
        <v>1363</v>
      </c>
      <c r="F33" t="s">
        <v>1366</v>
      </c>
      <c r="G33" t="s">
        <v>1367</v>
      </c>
      <c r="H33" t="s">
        <v>1374</v>
      </c>
      <c r="I33" t="s">
        <v>1369</v>
      </c>
      <c r="J33" t="s">
        <v>1370</v>
      </c>
      <c r="K33" t="s">
        <v>1369</v>
      </c>
      <c r="L33" t="s">
        <v>1369</v>
      </c>
      <c r="M33" t="s">
        <v>1369</v>
      </c>
      <c r="N33" t="s">
        <v>328</v>
      </c>
      <c r="O33"/>
      <c r="P33" t="s">
        <v>1427</v>
      </c>
    </row>
    <row r="34">
      <c r="A34" t="s">
        <v>1362</v>
      </c>
      <c r="B34" t="s">
        <v>1428</v>
      </c>
      <c r="C34" t="s">
        <v>1396</v>
      </c>
      <c r="D34" t="s">
        <v>393</v>
      </c>
      <c r="E34" t="s">
        <v>1363</v>
      </c>
      <c r="F34" t="s">
        <v>1366</v>
      </c>
      <c r="G34" t="s">
        <v>1367</v>
      </c>
      <c r="H34" t="s">
        <v>1377</v>
      </c>
      <c r="I34" t="s">
        <v>1369</v>
      </c>
      <c r="J34" t="s">
        <v>177</v>
      </c>
      <c r="K34" t="s">
        <v>1369</v>
      </c>
      <c r="L34" t="s">
        <v>1381</v>
      </c>
      <c r="M34" t="s">
        <v>1369</v>
      </c>
      <c r="N34" t="s">
        <v>328</v>
      </c>
      <c r="O34"/>
      <c r="P34" t="s">
        <v>1429</v>
      </c>
    </row>
    <row r="35">
      <c r="A35" t="s">
        <v>1362</v>
      </c>
      <c r="B35" t="s">
        <v>1430</v>
      </c>
      <c r="C35" t="s">
        <v>1396</v>
      </c>
      <c r="D35" t="s">
        <v>397</v>
      </c>
      <c r="E35" t="s">
        <v>1363</v>
      </c>
      <c r="F35" t="s">
        <v>1366</v>
      </c>
      <c r="G35" t="s">
        <v>1367</v>
      </c>
      <c r="H35" t="s">
        <v>1377</v>
      </c>
      <c r="I35" t="s">
        <v>1369</v>
      </c>
      <c r="J35" t="s">
        <v>177</v>
      </c>
      <c r="K35" t="s">
        <v>1369</v>
      </c>
      <c r="L35" t="s">
        <v>1381</v>
      </c>
      <c r="M35" t="s">
        <v>1369</v>
      </c>
      <c r="N35" t="s">
        <v>328</v>
      </c>
      <c r="O35"/>
      <c r="P35" t="s">
        <v>1431</v>
      </c>
    </row>
    <row r="36">
      <c r="A36" t="s">
        <v>1362</v>
      </c>
      <c r="B36" t="s">
        <v>1432</v>
      </c>
      <c r="C36" t="s">
        <v>1396</v>
      </c>
      <c r="D36" t="s">
        <v>397</v>
      </c>
      <c r="E36" t="s">
        <v>1363</v>
      </c>
      <c r="F36" t="s">
        <v>1366</v>
      </c>
      <c r="G36" t="s">
        <v>1367</v>
      </c>
      <c r="H36" t="s">
        <v>1377</v>
      </c>
      <c r="I36" t="s">
        <v>1369</v>
      </c>
      <c r="J36" t="s">
        <v>177</v>
      </c>
      <c r="K36" t="s">
        <v>1369</v>
      </c>
      <c r="L36" t="s">
        <v>1381</v>
      </c>
      <c r="M36" t="s">
        <v>1369</v>
      </c>
      <c r="N36" t="s">
        <v>328</v>
      </c>
      <c r="O36"/>
      <c r="P36" t="s">
        <v>1433</v>
      </c>
    </row>
    <row r="37">
      <c r="A37" t="s">
        <v>1362</v>
      </c>
      <c r="B37" t="s">
        <v>1434</v>
      </c>
      <c r="C37" t="s">
        <v>1396</v>
      </c>
      <c r="D37" t="s">
        <v>397</v>
      </c>
      <c r="E37" t="s">
        <v>1363</v>
      </c>
      <c r="F37" t="s">
        <v>1366</v>
      </c>
      <c r="G37" t="s">
        <v>1367</v>
      </c>
      <c r="H37" t="s">
        <v>1377</v>
      </c>
      <c r="I37" t="s">
        <v>1369</v>
      </c>
      <c r="J37" t="s">
        <v>177</v>
      </c>
      <c r="K37" t="s">
        <v>1369</v>
      </c>
      <c r="L37" t="s">
        <v>1381</v>
      </c>
      <c r="M37" t="s">
        <v>1369</v>
      </c>
      <c r="N37" t="s">
        <v>328</v>
      </c>
      <c r="O37"/>
      <c r="P37" t="s">
        <v>1435</v>
      </c>
    </row>
    <row r="38">
      <c r="A38" t="s">
        <v>1362</v>
      </c>
      <c r="B38" t="s">
        <v>1436</v>
      </c>
      <c r="C38" t="s">
        <v>1396</v>
      </c>
      <c r="D38" t="s">
        <v>327</v>
      </c>
      <c r="E38" t="s">
        <v>1363</v>
      </c>
      <c r="F38" t="s">
        <v>1366</v>
      </c>
      <c r="G38" t="s">
        <v>1367</v>
      </c>
      <c r="H38" t="s">
        <v>1377</v>
      </c>
      <c r="I38" t="s">
        <v>1369</v>
      </c>
      <c r="J38" t="s">
        <v>177</v>
      </c>
      <c r="K38" t="s">
        <v>1369</v>
      </c>
      <c r="L38" t="s">
        <v>1381</v>
      </c>
      <c r="M38" t="s">
        <v>1369</v>
      </c>
      <c r="N38" t="s">
        <v>328</v>
      </c>
      <c r="O38"/>
      <c r="P38" t="s">
        <v>1437</v>
      </c>
    </row>
    <row r="39">
      <c r="A39" t="s">
        <v>1362</v>
      </c>
      <c r="B39" t="s">
        <v>1438</v>
      </c>
      <c r="C39" t="s">
        <v>1396</v>
      </c>
      <c r="D39" t="s">
        <v>327</v>
      </c>
      <c r="E39" t="s">
        <v>1363</v>
      </c>
      <c r="F39" t="s">
        <v>1366</v>
      </c>
      <c r="G39" t="s">
        <v>1367</v>
      </c>
      <c r="H39" t="s">
        <v>1377</v>
      </c>
      <c r="I39" t="s">
        <v>1369</v>
      </c>
      <c r="J39" t="s">
        <v>177</v>
      </c>
      <c r="K39" t="s">
        <v>1369</v>
      </c>
      <c r="L39" t="s">
        <v>1381</v>
      </c>
      <c r="M39" t="s">
        <v>1369</v>
      </c>
      <c r="N39" t="s">
        <v>328</v>
      </c>
      <c r="O39"/>
      <c r="P39" t="s">
        <v>1439</v>
      </c>
    </row>
    <row r="40">
      <c r="A40" t="s">
        <v>1362</v>
      </c>
      <c r="B40" t="s">
        <v>1440</v>
      </c>
      <c r="C40" t="s">
        <v>1396</v>
      </c>
      <c r="D40" t="s">
        <v>327</v>
      </c>
      <c r="E40" t="s">
        <v>1363</v>
      </c>
      <c r="F40" t="s">
        <v>1366</v>
      </c>
      <c r="G40" t="s">
        <v>1367</v>
      </c>
      <c r="H40" t="s">
        <v>1377</v>
      </c>
      <c r="I40" t="s">
        <v>1369</v>
      </c>
      <c r="J40" t="s">
        <v>177</v>
      </c>
      <c r="K40" t="s">
        <v>1369</v>
      </c>
      <c r="L40" t="s">
        <v>1381</v>
      </c>
      <c r="M40" t="s">
        <v>1369</v>
      </c>
      <c r="N40" t="s">
        <v>328</v>
      </c>
      <c r="O40"/>
      <c r="P40" t="s">
        <v>1441</v>
      </c>
    </row>
    <row r="41">
      <c r="A41" t="s">
        <v>1362</v>
      </c>
      <c r="B41" t="s">
        <v>1442</v>
      </c>
      <c r="C41" t="s">
        <v>1396</v>
      </c>
      <c r="D41" t="s">
        <v>393</v>
      </c>
      <c r="E41" t="s">
        <v>1363</v>
      </c>
      <c r="F41" t="s">
        <v>1366</v>
      </c>
      <c r="G41" t="s">
        <v>1367</v>
      </c>
      <c r="H41" t="s">
        <v>1377</v>
      </c>
      <c r="I41" t="s">
        <v>1369</v>
      </c>
      <c r="J41" t="s">
        <v>177</v>
      </c>
      <c r="K41" t="s">
        <v>1369</v>
      </c>
      <c r="L41" t="s">
        <v>1381</v>
      </c>
      <c r="M41" t="s">
        <v>1369</v>
      </c>
      <c r="N41" t="s">
        <v>328</v>
      </c>
      <c r="O41"/>
      <c r="P41" t="s">
        <v>1443</v>
      </c>
    </row>
    <row r="42">
      <c r="A42" t="s">
        <v>1362</v>
      </c>
      <c r="B42" t="s">
        <v>1444</v>
      </c>
      <c r="C42" t="s">
        <v>1396</v>
      </c>
      <c r="D42" t="s">
        <v>335</v>
      </c>
      <c r="E42" t="s">
        <v>1363</v>
      </c>
      <c r="F42" t="s">
        <v>1366</v>
      </c>
      <c r="G42" t="s">
        <v>1367</v>
      </c>
      <c r="H42" t="s">
        <v>1377</v>
      </c>
      <c r="I42" t="s">
        <v>1369</v>
      </c>
      <c r="J42" t="s">
        <v>177</v>
      </c>
      <c r="K42" t="s">
        <v>1369</v>
      </c>
      <c r="L42" t="s">
        <v>1381</v>
      </c>
      <c r="M42" t="s">
        <v>1369</v>
      </c>
      <c r="N42" t="s">
        <v>328</v>
      </c>
      <c r="O42"/>
      <c r="P42" t="s">
        <v>1445</v>
      </c>
    </row>
    <row r="43">
      <c r="A43" t="s">
        <v>1362</v>
      </c>
      <c r="B43" t="s">
        <v>1446</v>
      </c>
      <c r="C43" t="s">
        <v>1396</v>
      </c>
      <c r="D43" t="s">
        <v>365</v>
      </c>
      <c r="E43" t="s">
        <v>1363</v>
      </c>
      <c r="F43" t="s">
        <v>1366</v>
      </c>
      <c r="G43" t="s">
        <v>1367</v>
      </c>
      <c r="H43" t="s">
        <v>1374</v>
      </c>
      <c r="I43" t="s">
        <v>1369</v>
      </c>
      <c r="J43" t="s">
        <v>1370</v>
      </c>
      <c r="K43" t="s">
        <v>1369</v>
      </c>
      <c r="L43" t="s">
        <v>1369</v>
      </c>
      <c r="M43" t="s">
        <v>1369</v>
      </c>
      <c r="N43" t="s">
        <v>366</v>
      </c>
      <c r="O43"/>
      <c r="P43" t="s">
        <v>1447</v>
      </c>
    </row>
    <row r="44">
      <c r="A44" t="s">
        <v>1362</v>
      </c>
      <c r="B44" t="s">
        <v>1448</v>
      </c>
      <c r="C44" t="s">
        <v>1396</v>
      </c>
      <c r="D44" t="s">
        <v>369</v>
      </c>
      <c r="E44" t="s">
        <v>1363</v>
      </c>
      <c r="F44" t="s">
        <v>1366</v>
      </c>
      <c r="G44" t="s">
        <v>1367</v>
      </c>
      <c r="H44" t="s">
        <v>1374</v>
      </c>
      <c r="I44" t="s">
        <v>1369</v>
      </c>
      <c r="J44" t="s">
        <v>1370</v>
      </c>
      <c r="K44" t="s">
        <v>1369</v>
      </c>
      <c r="L44" t="s">
        <v>1369</v>
      </c>
      <c r="M44" t="s">
        <v>1369</v>
      </c>
      <c r="N44" t="s">
        <v>366</v>
      </c>
      <c r="O44"/>
      <c r="P44" t="s">
        <v>1447</v>
      </c>
    </row>
    <row r="45">
      <c r="A45" t="s">
        <v>1362</v>
      </c>
      <c r="B45" t="s">
        <v>1449</v>
      </c>
      <c r="C45" t="s">
        <v>1396</v>
      </c>
      <c r="D45" t="s">
        <v>381</v>
      </c>
      <c r="E45" t="s">
        <v>1363</v>
      </c>
      <c r="F45" t="s">
        <v>1366</v>
      </c>
      <c r="G45" t="s">
        <v>1367</v>
      </c>
      <c r="H45" t="s">
        <v>1374</v>
      </c>
      <c r="I45" t="s">
        <v>1369</v>
      </c>
      <c r="J45" t="s">
        <v>1370</v>
      </c>
      <c r="K45" t="s">
        <v>1369</v>
      </c>
      <c r="L45" t="s">
        <v>1369</v>
      </c>
      <c r="M45" t="s">
        <v>1369</v>
      </c>
      <c r="N45" t="s">
        <v>366</v>
      </c>
      <c r="O45"/>
      <c r="P45" t="s">
        <v>1447</v>
      </c>
    </row>
    <row r="46">
      <c r="A46" t="s">
        <v>1362</v>
      </c>
      <c r="B46" t="s">
        <v>1450</v>
      </c>
      <c r="C46" t="s">
        <v>1396</v>
      </c>
      <c r="D46" t="s">
        <v>386</v>
      </c>
      <c r="E46" t="s">
        <v>1363</v>
      </c>
      <c r="F46" t="s">
        <v>1366</v>
      </c>
      <c r="G46" t="s">
        <v>1367</v>
      </c>
      <c r="H46" t="s">
        <v>1374</v>
      </c>
      <c r="I46" t="s">
        <v>1369</v>
      </c>
      <c r="J46" t="s">
        <v>1370</v>
      </c>
      <c r="K46" t="s">
        <v>1369</v>
      </c>
      <c r="L46" t="s">
        <v>1369</v>
      </c>
      <c r="M46" t="s">
        <v>1369</v>
      </c>
      <c r="N46" t="s">
        <v>366</v>
      </c>
      <c r="O46"/>
      <c r="P46" t="s">
        <v>1447</v>
      </c>
    </row>
    <row r="47">
      <c r="A47" t="s">
        <v>1362</v>
      </c>
      <c r="B47" t="s">
        <v>1451</v>
      </c>
      <c r="C47" t="s">
        <v>1396</v>
      </c>
      <c r="D47" t="s">
        <v>386</v>
      </c>
      <c r="E47" t="s">
        <v>1363</v>
      </c>
      <c r="F47" t="s">
        <v>1366</v>
      </c>
      <c r="G47" t="s">
        <v>1367</v>
      </c>
      <c r="H47" t="s">
        <v>1377</v>
      </c>
      <c r="I47" t="s">
        <v>1369</v>
      </c>
      <c r="J47" t="s">
        <v>177</v>
      </c>
      <c r="K47" t="s">
        <v>1369</v>
      </c>
      <c r="L47" t="s">
        <v>1381</v>
      </c>
      <c r="M47" t="s">
        <v>1369</v>
      </c>
      <c r="N47" t="s">
        <v>366</v>
      </c>
      <c r="O47"/>
      <c r="P47" t="s">
        <v>1452</v>
      </c>
    </row>
    <row r="48">
      <c r="A48" t="s">
        <v>1362</v>
      </c>
      <c r="B48" t="s">
        <v>1453</v>
      </c>
      <c r="C48" t="s">
        <v>1396</v>
      </c>
      <c r="D48" t="s">
        <v>364</v>
      </c>
      <c r="E48" t="s">
        <v>1363</v>
      </c>
      <c r="F48" t="s">
        <v>1366</v>
      </c>
      <c r="G48" t="s">
        <v>1367</v>
      </c>
      <c r="H48" t="s">
        <v>1374</v>
      </c>
      <c r="I48" t="s">
        <v>1369</v>
      </c>
      <c r="J48" t="s">
        <v>1370</v>
      </c>
      <c r="K48" t="s">
        <v>1369</v>
      </c>
      <c r="L48" t="s">
        <v>1369</v>
      </c>
      <c r="M48" t="s">
        <v>1369</v>
      </c>
      <c r="N48" t="s">
        <v>334</v>
      </c>
      <c r="O48"/>
      <c r="P48" t="s">
        <v>1454</v>
      </c>
    </row>
    <row r="49">
      <c r="A49" t="s">
        <v>1362</v>
      </c>
      <c r="B49" t="s">
        <v>1455</v>
      </c>
      <c r="C49" t="s">
        <v>1396</v>
      </c>
      <c r="D49" t="s">
        <v>380</v>
      </c>
      <c r="E49" t="s">
        <v>1363</v>
      </c>
      <c r="F49" t="s">
        <v>1366</v>
      </c>
      <c r="G49" t="s">
        <v>1367</v>
      </c>
      <c r="H49" t="s">
        <v>1374</v>
      </c>
      <c r="I49" t="s">
        <v>1369</v>
      </c>
      <c r="J49" t="s">
        <v>1370</v>
      </c>
      <c r="K49" t="s">
        <v>1369</v>
      </c>
      <c r="L49" t="s">
        <v>1369</v>
      </c>
      <c r="M49" t="s">
        <v>1369</v>
      </c>
      <c r="N49" t="s">
        <v>334</v>
      </c>
      <c r="O49"/>
      <c r="P49" t="s">
        <v>1454</v>
      </c>
    </row>
    <row r="50">
      <c r="A50" t="s">
        <v>1362</v>
      </c>
      <c r="B50" t="s">
        <v>1456</v>
      </c>
      <c r="C50" t="s">
        <v>1396</v>
      </c>
      <c r="D50" t="s">
        <v>384</v>
      </c>
      <c r="E50" t="s">
        <v>1363</v>
      </c>
      <c r="F50" t="s">
        <v>1366</v>
      </c>
      <c r="G50" t="s">
        <v>1367</v>
      </c>
      <c r="H50" t="s">
        <v>1374</v>
      </c>
      <c r="I50" t="s">
        <v>1369</v>
      </c>
      <c r="J50" t="s">
        <v>1370</v>
      </c>
      <c r="K50" t="s">
        <v>1369</v>
      </c>
      <c r="L50" t="s">
        <v>1369</v>
      </c>
      <c r="M50" t="s">
        <v>1369</v>
      </c>
      <c r="N50" t="s">
        <v>334</v>
      </c>
      <c r="O50"/>
      <c r="P50" t="s">
        <v>1454</v>
      </c>
    </row>
    <row r="51">
      <c r="A51" t="s">
        <v>1362</v>
      </c>
      <c r="B51" t="s">
        <v>1457</v>
      </c>
      <c r="C51" t="s">
        <v>1396</v>
      </c>
      <c r="D51" t="s">
        <v>355</v>
      </c>
      <c r="E51" t="s">
        <v>1363</v>
      </c>
      <c r="F51" t="s">
        <v>1366</v>
      </c>
      <c r="G51" t="s">
        <v>1367</v>
      </c>
      <c r="H51" t="s">
        <v>1377</v>
      </c>
      <c r="I51" t="s">
        <v>1369</v>
      </c>
      <c r="J51" t="s">
        <v>177</v>
      </c>
      <c r="K51" t="s">
        <v>1369</v>
      </c>
      <c r="L51" t="s">
        <v>1381</v>
      </c>
      <c r="M51" t="s">
        <v>1369</v>
      </c>
      <c r="N51" t="s">
        <v>338</v>
      </c>
      <c r="O51"/>
      <c r="P51" t="s">
        <v>1458</v>
      </c>
    </row>
    <row r="52">
      <c r="A52" t="s">
        <v>1362</v>
      </c>
      <c r="B52" t="s">
        <v>1459</v>
      </c>
      <c r="C52" t="s">
        <v>1396</v>
      </c>
      <c r="D52" t="s">
        <v>331</v>
      </c>
      <c r="E52" t="s">
        <v>1373</v>
      </c>
      <c r="F52" t="s">
        <v>1366</v>
      </c>
      <c r="G52" t="s">
        <v>1367</v>
      </c>
      <c r="H52" t="s">
        <v>1374</v>
      </c>
      <c r="I52" t="s">
        <v>1369</v>
      </c>
      <c r="J52" t="s">
        <v>1370</v>
      </c>
      <c r="K52" t="s">
        <v>1369</v>
      </c>
      <c r="L52" t="s">
        <v>1369</v>
      </c>
      <c r="M52" t="s">
        <v>1369</v>
      </c>
      <c r="N52" t="s">
        <v>332</v>
      </c>
      <c r="O52"/>
      <c r="P52" t="s">
        <v>1460</v>
      </c>
    </row>
    <row r="53">
      <c r="A53" t="s">
        <v>1362</v>
      </c>
      <c r="B53" t="s">
        <v>1461</v>
      </c>
      <c r="C53" t="s">
        <v>1396</v>
      </c>
      <c r="D53" t="s">
        <v>367</v>
      </c>
      <c r="E53" t="s">
        <v>1373</v>
      </c>
      <c r="F53" t="s">
        <v>1366</v>
      </c>
      <c r="G53" t="s">
        <v>1367</v>
      </c>
      <c r="H53" t="s">
        <v>1374</v>
      </c>
      <c r="I53" t="s">
        <v>1369</v>
      </c>
      <c r="J53" t="s">
        <v>1370</v>
      </c>
      <c r="K53" t="s">
        <v>1369</v>
      </c>
      <c r="L53" t="s">
        <v>1369</v>
      </c>
      <c r="M53" t="s">
        <v>1369</v>
      </c>
      <c r="N53" t="s">
        <v>332</v>
      </c>
      <c r="O53"/>
      <c r="P53" t="s">
        <v>1460</v>
      </c>
    </row>
    <row r="54">
      <c r="A54" t="s">
        <v>1362</v>
      </c>
      <c r="B54" t="s">
        <v>1462</v>
      </c>
      <c r="C54" t="s">
        <v>1396</v>
      </c>
      <c r="D54" t="s">
        <v>382</v>
      </c>
      <c r="E54" t="s">
        <v>1373</v>
      </c>
      <c r="F54" t="s">
        <v>1366</v>
      </c>
      <c r="G54" t="s">
        <v>1367</v>
      </c>
      <c r="H54" t="s">
        <v>1374</v>
      </c>
      <c r="I54" t="s">
        <v>1369</v>
      </c>
      <c r="J54" t="s">
        <v>1370</v>
      </c>
      <c r="K54" t="s">
        <v>1369</v>
      </c>
      <c r="L54" t="s">
        <v>1369</v>
      </c>
      <c r="M54" t="s">
        <v>1369</v>
      </c>
      <c r="N54" t="s">
        <v>332</v>
      </c>
      <c r="O54"/>
      <c r="P54" t="s">
        <v>1460</v>
      </c>
    </row>
    <row r="55">
      <c r="A55" t="s">
        <v>1362</v>
      </c>
      <c r="B55" t="s">
        <v>1463</v>
      </c>
      <c r="C55" t="s">
        <v>1396</v>
      </c>
      <c r="D55" t="s">
        <v>359</v>
      </c>
      <c r="E55" t="s">
        <v>1373</v>
      </c>
      <c r="F55" t="s">
        <v>1366</v>
      </c>
      <c r="G55" t="s">
        <v>1367</v>
      </c>
      <c r="H55" t="s">
        <v>1374</v>
      </c>
      <c r="I55" t="s">
        <v>1369</v>
      </c>
      <c r="J55" t="s">
        <v>1370</v>
      </c>
      <c r="K55" t="s">
        <v>1369</v>
      </c>
      <c r="L55" t="s">
        <v>1369</v>
      </c>
      <c r="M55" t="s">
        <v>1369</v>
      </c>
      <c r="N55" t="s">
        <v>328</v>
      </c>
      <c r="O55"/>
      <c r="P55" t="s">
        <v>1464</v>
      </c>
    </row>
    <row r="56">
      <c r="A56" t="s">
        <v>1362</v>
      </c>
      <c r="B56" t="s">
        <v>1465</v>
      </c>
      <c r="C56" t="s">
        <v>1396</v>
      </c>
      <c r="D56" t="s">
        <v>362</v>
      </c>
      <c r="E56" t="s">
        <v>1373</v>
      </c>
      <c r="F56" t="s">
        <v>1366</v>
      </c>
      <c r="G56" t="s">
        <v>1367</v>
      </c>
      <c r="H56" t="s">
        <v>1374</v>
      </c>
      <c r="I56" t="s">
        <v>1369</v>
      </c>
      <c r="J56" t="s">
        <v>1370</v>
      </c>
      <c r="K56" t="s">
        <v>1369</v>
      </c>
      <c r="L56" t="s">
        <v>1369</v>
      </c>
      <c r="M56" t="s">
        <v>1369</v>
      </c>
      <c r="N56" t="s">
        <v>328</v>
      </c>
      <c r="O56"/>
      <c r="P56" t="s">
        <v>1464</v>
      </c>
    </row>
    <row r="57">
      <c r="A57" t="s">
        <v>1362</v>
      </c>
      <c r="B57" t="s">
        <v>1466</v>
      </c>
      <c r="C57" t="s">
        <v>1396</v>
      </c>
      <c r="D57" t="s">
        <v>375</v>
      </c>
      <c r="E57" t="s">
        <v>1373</v>
      </c>
      <c r="F57" t="s">
        <v>1366</v>
      </c>
      <c r="G57" t="s">
        <v>1367</v>
      </c>
      <c r="H57" t="s">
        <v>1374</v>
      </c>
      <c r="I57" t="s">
        <v>1369</v>
      </c>
      <c r="J57" t="s">
        <v>1370</v>
      </c>
      <c r="K57" t="s">
        <v>1369</v>
      </c>
      <c r="L57" t="s">
        <v>1369</v>
      </c>
      <c r="M57" t="s">
        <v>1369</v>
      </c>
      <c r="N57" t="s">
        <v>328</v>
      </c>
      <c r="O57"/>
      <c r="P57" t="s">
        <v>1464</v>
      </c>
    </row>
    <row r="58">
      <c r="A58" t="s">
        <v>1362</v>
      </c>
      <c r="B58" t="s">
        <v>1467</v>
      </c>
      <c r="C58" t="s">
        <v>1396</v>
      </c>
      <c r="D58" t="s">
        <v>397</v>
      </c>
      <c r="E58" t="s">
        <v>1373</v>
      </c>
      <c r="F58" t="s">
        <v>1366</v>
      </c>
      <c r="G58" t="s">
        <v>1367</v>
      </c>
      <c r="H58" t="s">
        <v>1374</v>
      </c>
      <c r="I58" t="s">
        <v>1369</v>
      </c>
      <c r="J58" t="s">
        <v>1370</v>
      </c>
      <c r="K58" t="s">
        <v>1369</v>
      </c>
      <c r="L58" t="s">
        <v>1369</v>
      </c>
      <c r="M58" t="s">
        <v>1369</v>
      </c>
      <c r="N58" t="s">
        <v>328</v>
      </c>
      <c r="O58"/>
      <c r="P58" t="s">
        <v>1464</v>
      </c>
    </row>
    <row r="59">
      <c r="A59" t="s">
        <v>1362</v>
      </c>
      <c r="B59" t="s">
        <v>1468</v>
      </c>
      <c r="C59" t="s">
        <v>1396</v>
      </c>
      <c r="D59" t="s">
        <v>327</v>
      </c>
      <c r="E59" t="s">
        <v>1373</v>
      </c>
      <c r="F59" t="s">
        <v>1366</v>
      </c>
      <c r="G59" t="s">
        <v>1367</v>
      </c>
      <c r="H59" t="s">
        <v>1374</v>
      </c>
      <c r="I59" t="s">
        <v>1369</v>
      </c>
      <c r="J59" t="s">
        <v>1370</v>
      </c>
      <c r="K59" t="s">
        <v>1369</v>
      </c>
      <c r="L59" t="s">
        <v>1369</v>
      </c>
      <c r="M59" t="s">
        <v>1369</v>
      </c>
      <c r="N59" t="s">
        <v>328</v>
      </c>
      <c r="O59"/>
      <c r="P59" t="s">
        <v>1469</v>
      </c>
    </row>
    <row r="60">
      <c r="A60" t="s">
        <v>1362</v>
      </c>
      <c r="B60" t="s">
        <v>1470</v>
      </c>
      <c r="C60" t="s">
        <v>1396</v>
      </c>
      <c r="D60" t="s">
        <v>359</v>
      </c>
      <c r="E60" t="s">
        <v>1373</v>
      </c>
      <c r="F60" t="s">
        <v>1366</v>
      </c>
      <c r="G60" t="s">
        <v>1367</v>
      </c>
      <c r="H60" t="s">
        <v>1374</v>
      </c>
      <c r="I60" t="s">
        <v>1369</v>
      </c>
      <c r="J60" t="s">
        <v>1370</v>
      </c>
      <c r="K60" t="s">
        <v>1369</v>
      </c>
      <c r="L60" t="s">
        <v>1369</v>
      </c>
      <c r="M60" t="s">
        <v>1369</v>
      </c>
      <c r="N60" t="s">
        <v>328</v>
      </c>
      <c r="O60"/>
      <c r="P60" t="s">
        <v>1469</v>
      </c>
    </row>
    <row r="61">
      <c r="A61" t="s">
        <v>1362</v>
      </c>
      <c r="B61" t="s">
        <v>1471</v>
      </c>
      <c r="C61" t="s">
        <v>1396</v>
      </c>
      <c r="D61" t="s">
        <v>375</v>
      </c>
      <c r="E61" t="s">
        <v>1373</v>
      </c>
      <c r="F61" t="s">
        <v>1366</v>
      </c>
      <c r="G61" t="s">
        <v>1367</v>
      </c>
      <c r="H61" t="s">
        <v>1374</v>
      </c>
      <c r="I61" t="s">
        <v>1369</v>
      </c>
      <c r="J61" t="s">
        <v>1370</v>
      </c>
      <c r="K61" t="s">
        <v>1369</v>
      </c>
      <c r="L61" t="s">
        <v>1369</v>
      </c>
      <c r="M61" t="s">
        <v>1369</v>
      </c>
      <c r="N61" t="s">
        <v>328</v>
      </c>
      <c r="O61"/>
      <c r="P61" t="s">
        <v>1469</v>
      </c>
    </row>
    <row r="62">
      <c r="A62" t="s">
        <v>1362</v>
      </c>
      <c r="B62" t="s">
        <v>1472</v>
      </c>
      <c r="C62" t="s">
        <v>1396</v>
      </c>
      <c r="D62" t="s">
        <v>339</v>
      </c>
      <c r="E62" t="s">
        <v>1373</v>
      </c>
      <c r="F62" t="s">
        <v>1366</v>
      </c>
      <c r="G62" t="s">
        <v>1367</v>
      </c>
      <c r="H62" t="s">
        <v>1374</v>
      </c>
      <c r="I62" t="s">
        <v>1369</v>
      </c>
      <c r="J62" t="s">
        <v>1370</v>
      </c>
      <c r="K62" t="s">
        <v>1369</v>
      </c>
      <c r="L62" t="s">
        <v>1369</v>
      </c>
      <c r="M62" t="s">
        <v>1369</v>
      </c>
      <c r="N62" t="s">
        <v>328</v>
      </c>
      <c r="O62"/>
      <c r="P62" t="s">
        <v>1473</v>
      </c>
    </row>
    <row r="63">
      <c r="A63" t="s">
        <v>1362</v>
      </c>
      <c r="B63" t="s">
        <v>1474</v>
      </c>
      <c r="C63" t="s">
        <v>1396</v>
      </c>
      <c r="D63" t="s">
        <v>359</v>
      </c>
      <c r="E63" t="s">
        <v>1373</v>
      </c>
      <c r="F63" t="s">
        <v>1366</v>
      </c>
      <c r="G63" t="s">
        <v>1367</v>
      </c>
      <c r="H63" t="s">
        <v>1374</v>
      </c>
      <c r="I63" t="s">
        <v>1369</v>
      </c>
      <c r="J63" t="s">
        <v>1370</v>
      </c>
      <c r="K63" t="s">
        <v>1369</v>
      </c>
      <c r="L63" t="s">
        <v>1369</v>
      </c>
      <c r="M63" t="s">
        <v>1369</v>
      </c>
      <c r="N63" t="s">
        <v>328</v>
      </c>
      <c r="O63"/>
      <c r="P63" t="s">
        <v>1473</v>
      </c>
    </row>
    <row r="64">
      <c r="A64" t="s">
        <v>1362</v>
      </c>
      <c r="B64" t="s">
        <v>1475</v>
      </c>
      <c r="C64" t="s">
        <v>1396</v>
      </c>
      <c r="D64" t="s">
        <v>375</v>
      </c>
      <c r="E64" t="s">
        <v>1373</v>
      </c>
      <c r="F64" t="s">
        <v>1366</v>
      </c>
      <c r="G64" t="s">
        <v>1367</v>
      </c>
      <c r="H64" t="s">
        <v>1374</v>
      </c>
      <c r="I64" t="s">
        <v>1369</v>
      </c>
      <c r="J64" t="s">
        <v>1370</v>
      </c>
      <c r="K64" t="s">
        <v>1369</v>
      </c>
      <c r="L64" t="s">
        <v>1369</v>
      </c>
      <c r="M64" t="s">
        <v>1369</v>
      </c>
      <c r="N64" t="s">
        <v>328</v>
      </c>
      <c r="O64"/>
      <c r="P64" t="s">
        <v>1473</v>
      </c>
    </row>
    <row r="65">
      <c r="A65" t="s">
        <v>1362</v>
      </c>
      <c r="B65" t="s">
        <v>1476</v>
      </c>
      <c r="C65" t="s">
        <v>1396</v>
      </c>
      <c r="D65" t="s">
        <v>327</v>
      </c>
      <c r="E65" t="s">
        <v>1373</v>
      </c>
      <c r="F65" t="s">
        <v>1366</v>
      </c>
      <c r="G65" t="s">
        <v>1367</v>
      </c>
      <c r="H65" t="s">
        <v>1374</v>
      </c>
      <c r="I65" t="s">
        <v>1369</v>
      </c>
      <c r="J65" t="s">
        <v>1370</v>
      </c>
      <c r="K65" t="s">
        <v>1369</v>
      </c>
      <c r="L65" t="s">
        <v>1369</v>
      </c>
      <c r="M65" t="s">
        <v>1369</v>
      </c>
      <c r="N65" t="s">
        <v>328</v>
      </c>
      <c r="O65"/>
      <c r="P65" t="s">
        <v>1477</v>
      </c>
    </row>
    <row r="66">
      <c r="A66" t="s">
        <v>1362</v>
      </c>
      <c r="B66" t="s">
        <v>1478</v>
      </c>
      <c r="C66" t="s">
        <v>1396</v>
      </c>
      <c r="D66" t="s">
        <v>357</v>
      </c>
      <c r="E66" t="s">
        <v>1373</v>
      </c>
      <c r="F66" t="s">
        <v>1366</v>
      </c>
      <c r="G66" t="s">
        <v>1367</v>
      </c>
      <c r="H66" t="s">
        <v>1374</v>
      </c>
      <c r="I66" t="s">
        <v>1369</v>
      </c>
      <c r="J66" t="s">
        <v>1370</v>
      </c>
      <c r="K66" t="s">
        <v>1369</v>
      </c>
      <c r="L66" t="s">
        <v>1369</v>
      </c>
      <c r="M66" t="s">
        <v>1369</v>
      </c>
      <c r="N66" t="s">
        <v>328</v>
      </c>
      <c r="O66"/>
      <c r="P66" t="s">
        <v>1477</v>
      </c>
    </row>
    <row r="67">
      <c r="A67" t="s">
        <v>1362</v>
      </c>
      <c r="B67" t="s">
        <v>1479</v>
      </c>
      <c r="C67" t="s">
        <v>1396</v>
      </c>
      <c r="D67" t="s">
        <v>359</v>
      </c>
      <c r="E67" t="s">
        <v>1373</v>
      </c>
      <c r="F67" t="s">
        <v>1366</v>
      </c>
      <c r="G67" t="s">
        <v>1367</v>
      </c>
      <c r="H67" t="s">
        <v>1374</v>
      </c>
      <c r="I67" t="s">
        <v>1369</v>
      </c>
      <c r="J67" t="s">
        <v>1370</v>
      </c>
      <c r="K67" t="s">
        <v>1369</v>
      </c>
      <c r="L67" t="s">
        <v>1369</v>
      </c>
      <c r="M67" t="s">
        <v>1369</v>
      </c>
      <c r="N67" t="s">
        <v>328</v>
      </c>
      <c r="O67"/>
      <c r="P67" t="s">
        <v>1477</v>
      </c>
    </row>
    <row r="68">
      <c r="A68" t="s">
        <v>1362</v>
      </c>
      <c r="B68" t="s">
        <v>1480</v>
      </c>
      <c r="C68" t="s">
        <v>1396</v>
      </c>
      <c r="D68" t="s">
        <v>375</v>
      </c>
      <c r="E68" t="s">
        <v>1373</v>
      </c>
      <c r="F68" t="s">
        <v>1366</v>
      </c>
      <c r="G68" t="s">
        <v>1367</v>
      </c>
      <c r="H68" t="s">
        <v>1374</v>
      </c>
      <c r="I68" t="s">
        <v>1369</v>
      </c>
      <c r="J68" t="s">
        <v>1370</v>
      </c>
      <c r="K68" t="s">
        <v>1369</v>
      </c>
      <c r="L68" t="s">
        <v>1369</v>
      </c>
      <c r="M68" t="s">
        <v>1369</v>
      </c>
      <c r="N68" t="s">
        <v>328</v>
      </c>
      <c r="O68"/>
      <c r="P68" t="s">
        <v>1477</v>
      </c>
    </row>
    <row r="69">
      <c r="A69" t="s">
        <v>1362</v>
      </c>
      <c r="B69" t="s">
        <v>1481</v>
      </c>
      <c r="C69" t="s">
        <v>1396</v>
      </c>
      <c r="D69" t="s">
        <v>327</v>
      </c>
      <c r="E69" t="s">
        <v>1373</v>
      </c>
      <c r="F69" t="s">
        <v>1366</v>
      </c>
      <c r="G69" t="s">
        <v>1367</v>
      </c>
      <c r="H69" t="s">
        <v>1374</v>
      </c>
      <c r="I69" t="s">
        <v>1369</v>
      </c>
      <c r="J69" t="s">
        <v>1370</v>
      </c>
      <c r="K69" t="s">
        <v>1369</v>
      </c>
      <c r="L69" t="s">
        <v>1369</v>
      </c>
      <c r="M69" t="s">
        <v>1369</v>
      </c>
      <c r="N69" t="s">
        <v>328</v>
      </c>
      <c r="O69"/>
      <c r="P69" t="s">
        <v>1482</v>
      </c>
    </row>
    <row r="70">
      <c r="A70" t="s">
        <v>1362</v>
      </c>
      <c r="B70" t="s">
        <v>1483</v>
      </c>
      <c r="C70" t="s">
        <v>1396</v>
      </c>
      <c r="D70" t="s">
        <v>359</v>
      </c>
      <c r="E70" t="s">
        <v>1373</v>
      </c>
      <c r="F70" t="s">
        <v>1366</v>
      </c>
      <c r="G70" t="s">
        <v>1367</v>
      </c>
      <c r="H70" t="s">
        <v>1374</v>
      </c>
      <c r="I70" t="s">
        <v>1369</v>
      </c>
      <c r="J70" t="s">
        <v>1370</v>
      </c>
      <c r="K70" t="s">
        <v>1369</v>
      </c>
      <c r="L70" t="s">
        <v>1369</v>
      </c>
      <c r="M70" t="s">
        <v>1369</v>
      </c>
      <c r="N70" t="s">
        <v>328</v>
      </c>
      <c r="O70"/>
      <c r="P70" t="s">
        <v>1482</v>
      </c>
    </row>
    <row r="71">
      <c r="A71" t="s">
        <v>1362</v>
      </c>
      <c r="B71" t="s">
        <v>1484</v>
      </c>
      <c r="C71" t="s">
        <v>1396</v>
      </c>
      <c r="D71" t="s">
        <v>375</v>
      </c>
      <c r="E71" t="s">
        <v>1373</v>
      </c>
      <c r="F71" t="s">
        <v>1366</v>
      </c>
      <c r="G71" t="s">
        <v>1367</v>
      </c>
      <c r="H71" t="s">
        <v>1374</v>
      </c>
      <c r="I71" t="s">
        <v>1369</v>
      </c>
      <c r="J71" t="s">
        <v>1370</v>
      </c>
      <c r="K71" t="s">
        <v>1369</v>
      </c>
      <c r="L71" t="s">
        <v>1369</v>
      </c>
      <c r="M71" t="s">
        <v>1369</v>
      </c>
      <c r="N71" t="s">
        <v>328</v>
      </c>
      <c r="O71"/>
      <c r="P71" t="s">
        <v>1482</v>
      </c>
    </row>
    <row r="72">
      <c r="A72" t="s">
        <v>1362</v>
      </c>
      <c r="B72" t="s">
        <v>1485</v>
      </c>
      <c r="C72" t="s">
        <v>1396</v>
      </c>
      <c r="D72" t="s">
        <v>339</v>
      </c>
      <c r="E72" t="s">
        <v>1373</v>
      </c>
      <c r="F72" t="s">
        <v>1366</v>
      </c>
      <c r="G72" t="s">
        <v>1367</v>
      </c>
      <c r="H72" t="s">
        <v>1374</v>
      </c>
      <c r="I72" t="s">
        <v>1369</v>
      </c>
      <c r="J72" t="s">
        <v>1370</v>
      </c>
      <c r="K72" t="s">
        <v>1369</v>
      </c>
      <c r="L72" t="s">
        <v>1369</v>
      </c>
      <c r="M72" t="s">
        <v>1369</v>
      </c>
      <c r="N72" t="s">
        <v>328</v>
      </c>
      <c r="O72"/>
      <c r="P72" t="s">
        <v>1486</v>
      </c>
    </row>
    <row r="73">
      <c r="A73" t="s">
        <v>1362</v>
      </c>
      <c r="B73" t="s">
        <v>1487</v>
      </c>
      <c r="C73" t="s">
        <v>1396</v>
      </c>
      <c r="D73" t="s">
        <v>359</v>
      </c>
      <c r="E73" t="s">
        <v>1373</v>
      </c>
      <c r="F73" t="s">
        <v>1366</v>
      </c>
      <c r="G73" t="s">
        <v>1367</v>
      </c>
      <c r="H73" t="s">
        <v>1374</v>
      </c>
      <c r="I73" t="s">
        <v>1369</v>
      </c>
      <c r="J73" t="s">
        <v>1370</v>
      </c>
      <c r="K73" t="s">
        <v>1369</v>
      </c>
      <c r="L73" t="s">
        <v>1369</v>
      </c>
      <c r="M73" t="s">
        <v>1369</v>
      </c>
      <c r="N73" t="s">
        <v>328</v>
      </c>
      <c r="O73"/>
      <c r="P73" t="s">
        <v>1486</v>
      </c>
    </row>
    <row r="74">
      <c r="A74" t="s">
        <v>1362</v>
      </c>
      <c r="B74" t="s">
        <v>1488</v>
      </c>
      <c r="C74" t="s">
        <v>1396</v>
      </c>
      <c r="D74" t="s">
        <v>375</v>
      </c>
      <c r="E74" t="s">
        <v>1373</v>
      </c>
      <c r="F74" t="s">
        <v>1366</v>
      </c>
      <c r="G74" t="s">
        <v>1367</v>
      </c>
      <c r="H74" t="s">
        <v>1374</v>
      </c>
      <c r="I74" t="s">
        <v>1369</v>
      </c>
      <c r="J74" t="s">
        <v>1370</v>
      </c>
      <c r="K74" t="s">
        <v>1369</v>
      </c>
      <c r="L74" t="s">
        <v>1369</v>
      </c>
      <c r="M74" t="s">
        <v>1369</v>
      </c>
      <c r="N74" t="s">
        <v>328</v>
      </c>
      <c r="O74"/>
      <c r="P74" t="s">
        <v>1486</v>
      </c>
    </row>
    <row r="75">
      <c r="A75" t="s">
        <v>1362</v>
      </c>
      <c r="B75" t="s">
        <v>1489</v>
      </c>
      <c r="C75" t="s">
        <v>1396</v>
      </c>
      <c r="D75" t="s">
        <v>357</v>
      </c>
      <c r="E75" t="s">
        <v>1373</v>
      </c>
      <c r="F75" t="s">
        <v>1366</v>
      </c>
      <c r="G75" t="s">
        <v>1367</v>
      </c>
      <c r="H75" t="s">
        <v>1374</v>
      </c>
      <c r="I75" t="s">
        <v>1369</v>
      </c>
      <c r="J75" t="s">
        <v>1370</v>
      </c>
      <c r="K75" t="s">
        <v>1369</v>
      </c>
      <c r="L75" t="s">
        <v>1369</v>
      </c>
      <c r="M75" t="s">
        <v>1369</v>
      </c>
      <c r="N75" t="s">
        <v>328</v>
      </c>
      <c r="O75"/>
      <c r="P75" t="s">
        <v>1490</v>
      </c>
    </row>
    <row r="76">
      <c r="A76" t="s">
        <v>1362</v>
      </c>
      <c r="B76" t="s">
        <v>1491</v>
      </c>
      <c r="C76" t="s">
        <v>1396</v>
      </c>
      <c r="D76" t="s">
        <v>365</v>
      </c>
      <c r="E76" t="s">
        <v>1373</v>
      </c>
      <c r="F76" t="s">
        <v>1366</v>
      </c>
      <c r="G76" t="s">
        <v>1367</v>
      </c>
      <c r="H76" t="s">
        <v>1374</v>
      </c>
      <c r="I76" t="s">
        <v>1369</v>
      </c>
      <c r="J76" t="s">
        <v>1370</v>
      </c>
      <c r="K76" t="s">
        <v>1369</v>
      </c>
      <c r="L76" t="s">
        <v>1369</v>
      </c>
      <c r="M76" t="s">
        <v>1369</v>
      </c>
      <c r="N76" t="s">
        <v>366</v>
      </c>
      <c r="O76"/>
      <c r="P76" t="s">
        <v>1492</v>
      </c>
    </row>
    <row r="77">
      <c r="A77" t="s">
        <v>1362</v>
      </c>
      <c r="B77" t="s">
        <v>1493</v>
      </c>
      <c r="C77" t="s">
        <v>1396</v>
      </c>
      <c r="D77" t="s">
        <v>369</v>
      </c>
      <c r="E77" t="s">
        <v>1373</v>
      </c>
      <c r="F77" t="s">
        <v>1366</v>
      </c>
      <c r="G77" t="s">
        <v>1367</v>
      </c>
      <c r="H77" t="s">
        <v>1374</v>
      </c>
      <c r="I77" t="s">
        <v>1369</v>
      </c>
      <c r="J77" t="s">
        <v>1370</v>
      </c>
      <c r="K77" t="s">
        <v>1369</v>
      </c>
      <c r="L77" t="s">
        <v>1369</v>
      </c>
      <c r="M77" t="s">
        <v>1369</v>
      </c>
      <c r="N77" t="s">
        <v>366</v>
      </c>
      <c r="O77"/>
      <c r="P77" t="s">
        <v>1492</v>
      </c>
    </row>
    <row r="78">
      <c r="A78" t="s">
        <v>1362</v>
      </c>
      <c r="B78" t="s">
        <v>1494</v>
      </c>
      <c r="C78" t="s">
        <v>1396</v>
      </c>
      <c r="D78" t="s">
        <v>381</v>
      </c>
      <c r="E78" t="s">
        <v>1373</v>
      </c>
      <c r="F78" t="s">
        <v>1366</v>
      </c>
      <c r="G78" t="s">
        <v>1367</v>
      </c>
      <c r="H78" t="s">
        <v>1374</v>
      </c>
      <c r="I78" t="s">
        <v>1369</v>
      </c>
      <c r="J78" t="s">
        <v>1370</v>
      </c>
      <c r="K78" t="s">
        <v>1369</v>
      </c>
      <c r="L78" t="s">
        <v>1369</v>
      </c>
      <c r="M78" t="s">
        <v>1369</v>
      </c>
      <c r="N78" t="s">
        <v>366</v>
      </c>
      <c r="O78"/>
      <c r="P78" t="s">
        <v>1492</v>
      </c>
    </row>
    <row r="79">
      <c r="A79" t="s">
        <v>1362</v>
      </c>
      <c r="B79" t="s">
        <v>1495</v>
      </c>
      <c r="C79" t="s">
        <v>1396</v>
      </c>
      <c r="D79" t="s">
        <v>386</v>
      </c>
      <c r="E79" t="s">
        <v>1373</v>
      </c>
      <c r="F79" t="s">
        <v>1366</v>
      </c>
      <c r="G79" t="s">
        <v>1367</v>
      </c>
      <c r="H79" t="s">
        <v>1374</v>
      </c>
      <c r="I79" t="s">
        <v>1369</v>
      </c>
      <c r="J79" t="s">
        <v>1370</v>
      </c>
      <c r="K79" t="s">
        <v>1369</v>
      </c>
      <c r="L79" t="s">
        <v>1369</v>
      </c>
      <c r="M79" t="s">
        <v>1369</v>
      </c>
      <c r="N79" t="s">
        <v>366</v>
      </c>
      <c r="O79"/>
      <c r="P79" t="s">
        <v>1492</v>
      </c>
    </row>
    <row r="80">
      <c r="A80" t="s">
        <v>1362</v>
      </c>
      <c r="B80" t="s">
        <v>1496</v>
      </c>
      <c r="C80" t="s">
        <v>1396</v>
      </c>
      <c r="D80" t="s">
        <v>364</v>
      </c>
      <c r="E80" t="s">
        <v>1373</v>
      </c>
      <c r="F80" t="s">
        <v>1366</v>
      </c>
      <c r="G80" t="s">
        <v>1367</v>
      </c>
      <c r="H80" t="s">
        <v>1374</v>
      </c>
      <c r="I80" t="s">
        <v>1369</v>
      </c>
      <c r="J80" t="s">
        <v>1370</v>
      </c>
      <c r="K80" t="s">
        <v>1369</v>
      </c>
      <c r="L80" t="s">
        <v>1369</v>
      </c>
      <c r="M80" t="s">
        <v>1369</v>
      </c>
      <c r="N80" t="s">
        <v>334</v>
      </c>
      <c r="O80"/>
      <c r="P80" t="s">
        <v>1497</v>
      </c>
    </row>
    <row r="81">
      <c r="A81" t="s">
        <v>1362</v>
      </c>
      <c r="B81" t="s">
        <v>1498</v>
      </c>
      <c r="C81" t="s">
        <v>1396</v>
      </c>
      <c r="D81" t="s">
        <v>380</v>
      </c>
      <c r="E81" t="s">
        <v>1373</v>
      </c>
      <c r="F81" t="s">
        <v>1366</v>
      </c>
      <c r="G81" t="s">
        <v>1367</v>
      </c>
      <c r="H81" t="s">
        <v>1374</v>
      </c>
      <c r="I81" t="s">
        <v>1369</v>
      </c>
      <c r="J81" t="s">
        <v>1370</v>
      </c>
      <c r="K81" t="s">
        <v>1369</v>
      </c>
      <c r="L81" t="s">
        <v>1369</v>
      </c>
      <c r="M81" t="s">
        <v>1369</v>
      </c>
      <c r="N81" t="s">
        <v>334</v>
      </c>
      <c r="O81"/>
      <c r="P81" t="s">
        <v>1497</v>
      </c>
    </row>
    <row r="82">
      <c r="A82" t="s">
        <v>1362</v>
      </c>
      <c r="B82" t="s">
        <v>1499</v>
      </c>
      <c r="C82" t="s">
        <v>1396</v>
      </c>
      <c r="D82" t="s">
        <v>384</v>
      </c>
      <c r="E82" t="s">
        <v>1373</v>
      </c>
      <c r="F82" t="s">
        <v>1366</v>
      </c>
      <c r="G82" t="s">
        <v>1367</v>
      </c>
      <c r="H82" t="s">
        <v>1374</v>
      </c>
      <c r="I82" t="s">
        <v>1369</v>
      </c>
      <c r="J82" t="s">
        <v>1370</v>
      </c>
      <c r="K82" t="s">
        <v>1369</v>
      </c>
      <c r="L82" t="s">
        <v>1369</v>
      </c>
      <c r="M82" t="s">
        <v>1369</v>
      </c>
      <c r="N82" t="s">
        <v>334</v>
      </c>
      <c r="O82"/>
      <c r="P82" t="s">
        <v>1497</v>
      </c>
    </row>
    <row r="83">
      <c r="A83" t="s">
        <v>1362</v>
      </c>
      <c r="B83" t="s">
        <v>1500</v>
      </c>
      <c r="C83" t="s">
        <v>1396</v>
      </c>
      <c r="D83" t="s">
        <v>331</v>
      </c>
      <c r="E83" t="s">
        <v>1376</v>
      </c>
      <c r="F83" t="s">
        <v>1366</v>
      </c>
      <c r="G83" t="s">
        <v>1367</v>
      </c>
      <c r="H83" t="s">
        <v>1377</v>
      </c>
      <c r="I83" t="s">
        <v>1369</v>
      </c>
      <c r="J83" t="s">
        <v>177</v>
      </c>
      <c r="K83" t="s">
        <v>1369</v>
      </c>
      <c r="L83" t="s">
        <v>1381</v>
      </c>
      <c r="M83" t="s">
        <v>1369</v>
      </c>
      <c r="N83" t="s">
        <v>332</v>
      </c>
      <c r="O83"/>
      <c r="P83" t="s">
        <v>1501</v>
      </c>
    </row>
    <row r="84">
      <c r="A84" t="s">
        <v>1362</v>
      </c>
      <c r="B84" t="s">
        <v>1502</v>
      </c>
      <c r="C84" t="s">
        <v>1396</v>
      </c>
      <c r="D84" t="s">
        <v>367</v>
      </c>
      <c r="E84" t="s">
        <v>1376</v>
      </c>
      <c r="F84" t="s">
        <v>1366</v>
      </c>
      <c r="G84" t="s">
        <v>1367</v>
      </c>
      <c r="H84" t="s">
        <v>1374</v>
      </c>
      <c r="I84" t="s">
        <v>1369</v>
      </c>
      <c r="J84" t="s">
        <v>1370</v>
      </c>
      <c r="K84" t="s">
        <v>1369</v>
      </c>
      <c r="L84" t="s">
        <v>1369</v>
      </c>
      <c r="M84" t="s">
        <v>1369</v>
      </c>
      <c r="N84" t="s">
        <v>332</v>
      </c>
      <c r="O84"/>
      <c r="P84" t="s">
        <v>1503</v>
      </c>
    </row>
    <row r="85">
      <c r="A85" t="s">
        <v>1362</v>
      </c>
      <c r="B85" t="s">
        <v>1504</v>
      </c>
      <c r="C85" t="s">
        <v>1396</v>
      </c>
      <c r="D85" t="s">
        <v>397</v>
      </c>
      <c r="E85" t="s">
        <v>1376</v>
      </c>
      <c r="F85" t="s">
        <v>1366</v>
      </c>
      <c r="G85" t="s">
        <v>1367</v>
      </c>
      <c r="H85" t="s">
        <v>1377</v>
      </c>
      <c r="I85" t="s">
        <v>1369</v>
      </c>
      <c r="J85" t="s">
        <v>177</v>
      </c>
      <c r="K85" t="s">
        <v>1369</v>
      </c>
      <c r="L85" t="s">
        <v>1381</v>
      </c>
      <c r="M85" t="s">
        <v>1369</v>
      </c>
      <c r="N85" t="s">
        <v>328</v>
      </c>
      <c r="O85"/>
      <c r="P85" t="s">
        <v>1505</v>
      </c>
    </row>
    <row r="86">
      <c r="A86" t="s">
        <v>1362</v>
      </c>
      <c r="B86" t="s">
        <v>1506</v>
      </c>
      <c r="C86" t="s">
        <v>1396</v>
      </c>
      <c r="D86" t="s">
        <v>327</v>
      </c>
      <c r="E86" t="s">
        <v>1376</v>
      </c>
      <c r="F86" t="s">
        <v>1366</v>
      </c>
      <c r="G86" t="s">
        <v>1367</v>
      </c>
      <c r="H86" t="s">
        <v>1377</v>
      </c>
      <c r="I86" t="s">
        <v>1369</v>
      </c>
      <c r="J86" t="s">
        <v>177</v>
      </c>
      <c r="K86" t="s">
        <v>1369</v>
      </c>
      <c r="L86" t="s">
        <v>1381</v>
      </c>
      <c r="M86" t="s">
        <v>1369</v>
      </c>
      <c r="N86" t="s">
        <v>328</v>
      </c>
      <c r="O86"/>
      <c r="P86" t="s">
        <v>1507</v>
      </c>
    </row>
    <row r="87">
      <c r="A87" t="s">
        <v>1362</v>
      </c>
      <c r="B87" t="s">
        <v>1508</v>
      </c>
      <c r="C87" t="s">
        <v>1396</v>
      </c>
      <c r="D87" t="s">
        <v>359</v>
      </c>
      <c r="E87" t="s">
        <v>1376</v>
      </c>
      <c r="F87" t="s">
        <v>1366</v>
      </c>
      <c r="G87" t="s">
        <v>1367</v>
      </c>
      <c r="H87" t="s">
        <v>1374</v>
      </c>
      <c r="I87" t="s">
        <v>1369</v>
      </c>
      <c r="J87" t="s">
        <v>1370</v>
      </c>
      <c r="K87" t="s">
        <v>1369</v>
      </c>
      <c r="L87" t="s">
        <v>1369</v>
      </c>
      <c r="M87" t="s">
        <v>1369</v>
      </c>
      <c r="N87" t="s">
        <v>328</v>
      </c>
      <c r="O87"/>
      <c r="P87" t="s">
        <v>1503</v>
      </c>
    </row>
    <row r="88">
      <c r="A88" t="s">
        <v>1362</v>
      </c>
      <c r="B88" t="s">
        <v>1509</v>
      </c>
      <c r="C88" t="s">
        <v>1396</v>
      </c>
      <c r="D88" t="s">
        <v>339</v>
      </c>
      <c r="E88" t="s">
        <v>1376</v>
      </c>
      <c r="F88" t="s">
        <v>1366</v>
      </c>
      <c r="G88" t="s">
        <v>1367</v>
      </c>
      <c r="H88" t="s">
        <v>1377</v>
      </c>
      <c r="I88" t="s">
        <v>1369</v>
      </c>
      <c r="J88" t="s">
        <v>177</v>
      </c>
      <c r="K88" t="s">
        <v>1369</v>
      </c>
      <c r="L88" t="s">
        <v>1381</v>
      </c>
      <c r="M88" t="s">
        <v>1369</v>
      </c>
      <c r="N88" t="s">
        <v>328</v>
      </c>
      <c r="O88"/>
      <c r="P88" t="s">
        <v>1510</v>
      </c>
    </row>
    <row r="89">
      <c r="A89" t="s">
        <v>1362</v>
      </c>
      <c r="B89" t="s">
        <v>1511</v>
      </c>
      <c r="C89" t="s">
        <v>1396</v>
      </c>
      <c r="D89" t="s">
        <v>359</v>
      </c>
      <c r="E89" t="s">
        <v>1376</v>
      </c>
      <c r="F89" t="s">
        <v>1366</v>
      </c>
      <c r="G89" t="s">
        <v>1367</v>
      </c>
      <c r="H89" t="s">
        <v>1374</v>
      </c>
      <c r="I89" t="s">
        <v>1369</v>
      </c>
      <c r="J89" t="s">
        <v>1370</v>
      </c>
      <c r="K89" t="s">
        <v>1369</v>
      </c>
      <c r="L89" t="s">
        <v>1369</v>
      </c>
      <c r="M89" t="s">
        <v>1369</v>
      </c>
      <c r="N89" t="s">
        <v>328</v>
      </c>
      <c r="O89"/>
      <c r="P89" t="s">
        <v>1503</v>
      </c>
    </row>
    <row r="90">
      <c r="A90" t="s">
        <v>1362</v>
      </c>
      <c r="B90" t="s">
        <v>1512</v>
      </c>
      <c r="C90" t="s">
        <v>1396</v>
      </c>
      <c r="D90" t="s">
        <v>327</v>
      </c>
      <c r="E90" t="s">
        <v>1376</v>
      </c>
      <c r="F90" t="s">
        <v>1366</v>
      </c>
      <c r="G90" t="s">
        <v>1367</v>
      </c>
      <c r="H90" t="s">
        <v>1377</v>
      </c>
      <c r="I90" t="s">
        <v>1369</v>
      </c>
      <c r="J90" t="s">
        <v>177</v>
      </c>
      <c r="K90" t="s">
        <v>1369</v>
      </c>
      <c r="L90" t="s">
        <v>1381</v>
      </c>
      <c r="M90" t="s">
        <v>1369</v>
      </c>
      <c r="N90" t="s">
        <v>328</v>
      </c>
      <c r="O90"/>
      <c r="P90" t="s">
        <v>1513</v>
      </c>
    </row>
    <row r="91">
      <c r="A91" t="s">
        <v>1362</v>
      </c>
      <c r="B91" t="s">
        <v>1514</v>
      </c>
      <c r="C91" t="s">
        <v>1396</v>
      </c>
      <c r="D91" t="s">
        <v>357</v>
      </c>
      <c r="E91" t="s">
        <v>1376</v>
      </c>
      <c r="F91" t="s">
        <v>1366</v>
      </c>
      <c r="G91" t="s">
        <v>1367</v>
      </c>
      <c r="H91" t="s">
        <v>1374</v>
      </c>
      <c r="I91" t="s">
        <v>1369</v>
      </c>
      <c r="J91" t="s">
        <v>1370</v>
      </c>
      <c r="K91" t="s">
        <v>1369</v>
      </c>
      <c r="L91" t="s">
        <v>1369</v>
      </c>
      <c r="M91" t="s">
        <v>1369</v>
      </c>
      <c r="N91" t="s">
        <v>328</v>
      </c>
      <c r="O91"/>
      <c r="P91" t="s">
        <v>1503</v>
      </c>
    </row>
    <row r="92">
      <c r="A92" t="s">
        <v>1362</v>
      </c>
      <c r="B92" t="s">
        <v>1515</v>
      </c>
      <c r="C92" t="s">
        <v>1396</v>
      </c>
      <c r="D92" t="s">
        <v>327</v>
      </c>
      <c r="E92" t="s">
        <v>1376</v>
      </c>
      <c r="F92" t="s">
        <v>1366</v>
      </c>
      <c r="G92" t="s">
        <v>1367</v>
      </c>
      <c r="H92" t="s">
        <v>1377</v>
      </c>
      <c r="I92" t="s">
        <v>1369</v>
      </c>
      <c r="J92" t="s">
        <v>177</v>
      </c>
      <c r="K92" t="s">
        <v>1369</v>
      </c>
      <c r="L92" t="s">
        <v>1381</v>
      </c>
      <c r="M92" t="s">
        <v>1369</v>
      </c>
      <c r="N92" t="s">
        <v>328</v>
      </c>
      <c r="O92"/>
      <c r="P92" t="s">
        <v>1516</v>
      </c>
    </row>
    <row r="93">
      <c r="A93" t="s">
        <v>1362</v>
      </c>
      <c r="B93" t="s">
        <v>1517</v>
      </c>
      <c r="C93" t="s">
        <v>1396</v>
      </c>
      <c r="D93" t="s">
        <v>359</v>
      </c>
      <c r="E93" t="s">
        <v>1376</v>
      </c>
      <c r="F93" t="s">
        <v>1366</v>
      </c>
      <c r="G93" t="s">
        <v>1367</v>
      </c>
      <c r="H93" t="s">
        <v>1374</v>
      </c>
      <c r="I93" t="s">
        <v>1369</v>
      </c>
      <c r="J93" t="s">
        <v>1370</v>
      </c>
      <c r="K93" t="s">
        <v>1369</v>
      </c>
      <c r="L93" t="s">
        <v>1369</v>
      </c>
      <c r="M93" t="s">
        <v>1369</v>
      </c>
      <c r="N93" t="s">
        <v>328</v>
      </c>
      <c r="O93"/>
      <c r="P93" t="s">
        <v>1503</v>
      </c>
    </row>
    <row r="94">
      <c r="A94" t="s">
        <v>1362</v>
      </c>
      <c r="B94" t="s">
        <v>1518</v>
      </c>
      <c r="C94" t="s">
        <v>1396</v>
      </c>
      <c r="D94" t="s">
        <v>339</v>
      </c>
      <c r="E94" t="s">
        <v>1376</v>
      </c>
      <c r="F94" t="s">
        <v>1366</v>
      </c>
      <c r="G94" t="s">
        <v>1367</v>
      </c>
      <c r="H94" t="s">
        <v>1377</v>
      </c>
      <c r="I94" t="s">
        <v>1369</v>
      </c>
      <c r="J94" t="s">
        <v>177</v>
      </c>
      <c r="K94" t="s">
        <v>1369</v>
      </c>
      <c r="L94" t="s">
        <v>1381</v>
      </c>
      <c r="M94" t="s">
        <v>1369</v>
      </c>
      <c r="N94" t="s">
        <v>328</v>
      </c>
      <c r="O94"/>
      <c r="P94" t="s">
        <v>1519</v>
      </c>
    </row>
    <row r="95">
      <c r="A95" t="s">
        <v>1362</v>
      </c>
      <c r="B95" t="s">
        <v>1520</v>
      </c>
      <c r="C95" t="s">
        <v>1396</v>
      </c>
      <c r="D95" t="s">
        <v>359</v>
      </c>
      <c r="E95" t="s">
        <v>1376</v>
      </c>
      <c r="F95" t="s">
        <v>1366</v>
      </c>
      <c r="G95" t="s">
        <v>1367</v>
      </c>
      <c r="H95" t="s">
        <v>1374</v>
      </c>
      <c r="I95" t="s">
        <v>1369</v>
      </c>
      <c r="J95" t="s">
        <v>1370</v>
      </c>
      <c r="K95" t="s">
        <v>1369</v>
      </c>
      <c r="L95" t="s">
        <v>1369</v>
      </c>
      <c r="M95" t="s">
        <v>1369</v>
      </c>
      <c r="N95" t="s">
        <v>328</v>
      </c>
      <c r="O95"/>
      <c r="P95" t="s">
        <v>1503</v>
      </c>
    </row>
    <row r="96">
      <c r="A96" t="s">
        <v>1362</v>
      </c>
      <c r="B96" t="s">
        <v>1521</v>
      </c>
      <c r="C96" t="s">
        <v>1396</v>
      </c>
      <c r="D96" t="s">
        <v>357</v>
      </c>
      <c r="E96" t="s">
        <v>1376</v>
      </c>
      <c r="F96" t="s">
        <v>1366</v>
      </c>
      <c r="G96" t="s">
        <v>1367</v>
      </c>
      <c r="H96" t="s">
        <v>1377</v>
      </c>
      <c r="I96" t="s">
        <v>1369</v>
      </c>
      <c r="J96" t="s">
        <v>177</v>
      </c>
      <c r="K96" t="s">
        <v>1369</v>
      </c>
      <c r="L96" t="s">
        <v>1381</v>
      </c>
      <c r="M96" t="s">
        <v>1369</v>
      </c>
      <c r="N96" t="s">
        <v>328</v>
      </c>
      <c r="O96"/>
      <c r="P96" t="s">
        <v>1522</v>
      </c>
    </row>
    <row r="97">
      <c r="A97" t="s">
        <v>1362</v>
      </c>
      <c r="B97" t="s">
        <v>1523</v>
      </c>
      <c r="C97" t="s">
        <v>1396</v>
      </c>
      <c r="D97" t="s">
        <v>365</v>
      </c>
      <c r="E97" t="s">
        <v>1376</v>
      </c>
      <c r="F97" t="s">
        <v>1366</v>
      </c>
      <c r="G97" t="s">
        <v>1367</v>
      </c>
      <c r="H97" t="s">
        <v>1374</v>
      </c>
      <c r="I97" t="s">
        <v>1369</v>
      </c>
      <c r="J97" t="s">
        <v>1370</v>
      </c>
      <c r="K97" t="s">
        <v>1369</v>
      </c>
      <c r="L97" t="s">
        <v>1369</v>
      </c>
      <c r="M97" t="s">
        <v>1369</v>
      </c>
      <c r="N97" t="s">
        <v>366</v>
      </c>
      <c r="O97"/>
      <c r="P97" t="s">
        <v>1503</v>
      </c>
    </row>
    <row r="98">
      <c r="A98" t="s">
        <v>1362</v>
      </c>
      <c r="B98" t="s">
        <v>1524</v>
      </c>
      <c r="C98" t="s">
        <v>1396</v>
      </c>
      <c r="D98" t="s">
        <v>384</v>
      </c>
      <c r="E98" t="s">
        <v>1376</v>
      </c>
      <c r="F98" t="s">
        <v>1366</v>
      </c>
      <c r="G98" t="s">
        <v>1367</v>
      </c>
      <c r="H98" t="s">
        <v>1377</v>
      </c>
      <c r="I98" t="s">
        <v>1369</v>
      </c>
      <c r="J98" t="s">
        <v>177</v>
      </c>
      <c r="K98" t="s">
        <v>1369</v>
      </c>
      <c r="L98" t="s">
        <v>1381</v>
      </c>
      <c r="M98" t="s">
        <v>1369</v>
      </c>
      <c r="N98" t="s">
        <v>334</v>
      </c>
      <c r="O98"/>
      <c r="P98" t="s">
        <v>1525</v>
      </c>
    </row>
    <row r="99">
      <c r="A99" t="s">
        <v>1362</v>
      </c>
      <c r="B99" t="s">
        <v>1526</v>
      </c>
      <c r="C99" t="s">
        <v>1396</v>
      </c>
      <c r="D99" t="s">
        <v>331</v>
      </c>
      <c r="E99" t="s">
        <v>1380</v>
      </c>
      <c r="F99" t="s">
        <v>1366</v>
      </c>
      <c r="G99" t="s">
        <v>1367</v>
      </c>
      <c r="H99" t="s">
        <v>1374</v>
      </c>
      <c r="I99" t="s">
        <v>1369</v>
      </c>
      <c r="J99" t="s">
        <v>1370</v>
      </c>
      <c r="K99" t="s">
        <v>1369</v>
      </c>
      <c r="L99" t="s">
        <v>1369</v>
      </c>
      <c r="M99" t="s">
        <v>1369</v>
      </c>
      <c r="N99" t="s">
        <v>332</v>
      </c>
      <c r="O99"/>
      <c r="P99" t="s">
        <v>1503</v>
      </c>
    </row>
    <row r="100">
      <c r="A100" t="s">
        <v>1362</v>
      </c>
      <c r="B100" t="s">
        <v>1527</v>
      </c>
      <c r="C100" t="s">
        <v>1396</v>
      </c>
      <c r="D100" t="s">
        <v>386</v>
      </c>
      <c r="E100" t="s">
        <v>1528</v>
      </c>
      <c r="F100" t="s">
        <v>1366</v>
      </c>
      <c r="G100" t="s">
        <v>1367</v>
      </c>
      <c r="H100" t="s">
        <v>1529</v>
      </c>
      <c r="I100" t="s">
        <v>1369</v>
      </c>
      <c r="J100" t="s">
        <v>1530</v>
      </c>
      <c r="K100" t="s">
        <v>1381</v>
      </c>
      <c r="L100" t="s">
        <v>1369</v>
      </c>
      <c r="M100" t="s">
        <v>1369</v>
      </c>
      <c r="N100" t="s">
        <v>366</v>
      </c>
      <c r="O100"/>
      <c r="P100" t="s">
        <v>1531</v>
      </c>
    </row>
    <row r="101">
      <c r="A101" t="s">
        <v>1362</v>
      </c>
      <c r="B101" t="s">
        <v>1532</v>
      </c>
      <c r="C101" t="s">
        <v>1396</v>
      </c>
      <c r="D101" t="s">
        <v>331</v>
      </c>
      <c r="E101" t="s">
        <v>1363</v>
      </c>
      <c r="F101" t="s">
        <v>1366</v>
      </c>
      <c r="G101" t="s">
        <v>1367</v>
      </c>
      <c r="H101" t="s">
        <v>1529</v>
      </c>
      <c r="I101" t="s">
        <v>1369</v>
      </c>
      <c r="J101" t="s">
        <v>177</v>
      </c>
      <c r="K101" t="s">
        <v>1381</v>
      </c>
      <c r="L101" t="s">
        <v>1369</v>
      </c>
      <c r="M101" t="s">
        <v>1369</v>
      </c>
      <c r="N101" t="s">
        <v>332</v>
      </c>
      <c r="O101"/>
      <c r="P101" t="s">
        <v>1533</v>
      </c>
    </row>
    <row r="102">
      <c r="A102" t="s">
        <v>1362</v>
      </c>
      <c r="B102" t="s">
        <v>1534</v>
      </c>
      <c r="C102" t="s">
        <v>1396</v>
      </c>
      <c r="D102" t="s">
        <v>397</v>
      </c>
      <c r="E102" t="s">
        <v>1363</v>
      </c>
      <c r="F102" t="s">
        <v>1366</v>
      </c>
      <c r="G102" t="s">
        <v>1367</v>
      </c>
      <c r="H102" t="s">
        <v>1529</v>
      </c>
      <c r="I102" t="s">
        <v>1369</v>
      </c>
      <c r="J102" t="s">
        <v>177</v>
      </c>
      <c r="K102" t="s">
        <v>1381</v>
      </c>
      <c r="L102" t="s">
        <v>1369</v>
      </c>
      <c r="M102" t="s">
        <v>1369</v>
      </c>
      <c r="N102" t="s">
        <v>328</v>
      </c>
      <c r="O102"/>
      <c r="P102" t="s">
        <v>1535</v>
      </c>
    </row>
    <row r="103">
      <c r="A103" t="s">
        <v>1362</v>
      </c>
      <c r="B103" t="s">
        <v>1536</v>
      </c>
      <c r="C103" t="s">
        <v>1396</v>
      </c>
      <c r="D103" t="s">
        <v>339</v>
      </c>
      <c r="E103" t="s">
        <v>1363</v>
      </c>
      <c r="F103" t="s">
        <v>1366</v>
      </c>
      <c r="G103" t="s">
        <v>1367</v>
      </c>
      <c r="H103" t="s">
        <v>1529</v>
      </c>
      <c r="I103" t="s">
        <v>1369</v>
      </c>
      <c r="J103" t="s">
        <v>177</v>
      </c>
      <c r="K103" t="s">
        <v>1381</v>
      </c>
      <c r="L103" t="s">
        <v>1369</v>
      </c>
      <c r="M103" t="s">
        <v>1369</v>
      </c>
      <c r="N103" t="s">
        <v>328</v>
      </c>
      <c r="O103"/>
      <c r="P103" t="s">
        <v>1537</v>
      </c>
    </row>
    <row r="104">
      <c r="A104" t="s">
        <v>1362</v>
      </c>
      <c r="B104" t="s">
        <v>1538</v>
      </c>
      <c r="C104" t="s">
        <v>1396</v>
      </c>
      <c r="D104" t="s">
        <v>327</v>
      </c>
      <c r="E104" t="s">
        <v>1363</v>
      </c>
      <c r="F104" t="s">
        <v>1366</v>
      </c>
      <c r="G104" t="s">
        <v>1367</v>
      </c>
      <c r="H104" t="s">
        <v>1529</v>
      </c>
      <c r="I104" t="s">
        <v>1369</v>
      </c>
      <c r="J104" t="s">
        <v>177</v>
      </c>
      <c r="K104" t="s">
        <v>1381</v>
      </c>
      <c r="L104" t="s">
        <v>1369</v>
      </c>
      <c r="M104" t="s">
        <v>1369</v>
      </c>
      <c r="N104" t="s">
        <v>328</v>
      </c>
      <c r="O104"/>
      <c r="P104" t="s">
        <v>1539</v>
      </c>
    </row>
    <row r="105">
      <c r="A105" t="s">
        <v>1362</v>
      </c>
      <c r="B105" t="s">
        <v>1540</v>
      </c>
      <c r="C105" t="s">
        <v>1396</v>
      </c>
      <c r="D105" t="s">
        <v>393</v>
      </c>
      <c r="E105" t="s">
        <v>1363</v>
      </c>
      <c r="F105" t="s">
        <v>1366</v>
      </c>
      <c r="G105" t="s">
        <v>1367</v>
      </c>
      <c r="H105" t="s">
        <v>1529</v>
      </c>
      <c r="I105" t="s">
        <v>1369</v>
      </c>
      <c r="J105" t="s">
        <v>1530</v>
      </c>
      <c r="K105" t="s">
        <v>1381</v>
      </c>
      <c r="L105" t="s">
        <v>1369</v>
      </c>
      <c r="M105" t="s">
        <v>1369</v>
      </c>
      <c r="N105" t="s">
        <v>328</v>
      </c>
      <c r="O105"/>
      <c r="P105" t="s">
        <v>1541</v>
      </c>
    </row>
    <row r="106">
      <c r="A106" t="s">
        <v>1362</v>
      </c>
      <c r="B106" t="s">
        <v>1542</v>
      </c>
      <c r="C106" t="s">
        <v>1396</v>
      </c>
      <c r="D106" t="s">
        <v>369</v>
      </c>
      <c r="E106" t="s">
        <v>1363</v>
      </c>
      <c r="F106" t="s">
        <v>1366</v>
      </c>
      <c r="G106" t="s">
        <v>1367</v>
      </c>
      <c r="H106" t="s">
        <v>1529</v>
      </c>
      <c r="I106" t="s">
        <v>1369</v>
      </c>
      <c r="J106" t="s">
        <v>177</v>
      </c>
      <c r="K106" t="s">
        <v>1381</v>
      </c>
      <c r="L106" t="s">
        <v>1369</v>
      </c>
      <c r="M106" t="s">
        <v>1381</v>
      </c>
      <c r="N106" t="s">
        <v>366</v>
      </c>
      <c r="O106"/>
      <c r="P106" t="s">
        <v>1543</v>
      </c>
    </row>
    <row r="107">
      <c r="A107" t="s">
        <v>1362</v>
      </c>
      <c r="B107" t="s">
        <v>1544</v>
      </c>
      <c r="C107" t="s">
        <v>1396</v>
      </c>
      <c r="D107" t="s">
        <v>386</v>
      </c>
      <c r="E107" t="s">
        <v>1363</v>
      </c>
      <c r="F107" t="s">
        <v>1366</v>
      </c>
      <c r="G107" t="s">
        <v>1367</v>
      </c>
      <c r="H107" t="s">
        <v>1529</v>
      </c>
      <c r="I107" t="s">
        <v>1369</v>
      </c>
      <c r="J107" t="s">
        <v>177</v>
      </c>
      <c r="K107" t="s">
        <v>1381</v>
      </c>
      <c r="L107" t="s">
        <v>1369</v>
      </c>
      <c r="M107" t="s">
        <v>1369</v>
      </c>
      <c r="N107" t="s">
        <v>366</v>
      </c>
      <c r="O107"/>
      <c r="P107" t="s">
        <v>1545</v>
      </c>
    </row>
    <row r="108">
      <c r="A108" t="s">
        <v>1362</v>
      </c>
      <c r="B108" t="s">
        <v>1546</v>
      </c>
      <c r="C108" t="s">
        <v>1396</v>
      </c>
      <c r="D108" t="s">
        <v>384</v>
      </c>
      <c r="E108" t="s">
        <v>1363</v>
      </c>
      <c r="F108" t="s">
        <v>1366</v>
      </c>
      <c r="G108" t="s">
        <v>1367</v>
      </c>
      <c r="H108" t="s">
        <v>1529</v>
      </c>
      <c r="I108" t="s">
        <v>1369</v>
      </c>
      <c r="J108" t="s">
        <v>177</v>
      </c>
      <c r="K108" t="s">
        <v>1381</v>
      </c>
      <c r="L108" t="s">
        <v>1369</v>
      </c>
      <c r="M108" t="s">
        <v>1369</v>
      </c>
      <c r="N108" t="s">
        <v>334</v>
      </c>
      <c r="O108"/>
      <c r="P108" t="s">
        <v>1547</v>
      </c>
    </row>
    <row r="109">
      <c r="A109" t="s">
        <v>1362</v>
      </c>
      <c r="B109" t="s">
        <v>1548</v>
      </c>
      <c r="C109" t="s">
        <v>1396</v>
      </c>
      <c r="D109" t="s">
        <v>357</v>
      </c>
      <c r="E109" t="s">
        <v>1549</v>
      </c>
      <c r="F109" t="s">
        <v>1366</v>
      </c>
      <c r="G109" t="s">
        <v>1367</v>
      </c>
      <c r="H109" t="s">
        <v>1529</v>
      </c>
      <c r="I109" t="s">
        <v>1369</v>
      </c>
      <c r="J109" t="s">
        <v>177</v>
      </c>
      <c r="K109" t="s">
        <v>1381</v>
      </c>
      <c r="L109" t="s">
        <v>1369</v>
      </c>
      <c r="M109" t="s">
        <v>1381</v>
      </c>
      <c r="N109" t="s">
        <v>328</v>
      </c>
      <c r="O109"/>
      <c r="P109" t="s">
        <v>1550</v>
      </c>
    </row>
    <row r="110">
      <c r="A110" t="s">
        <v>1362</v>
      </c>
      <c r="B110" t="s">
        <v>1551</v>
      </c>
      <c r="C110" t="s">
        <v>1396</v>
      </c>
      <c r="D110" t="s">
        <v>339</v>
      </c>
      <c r="E110" t="s">
        <v>1373</v>
      </c>
      <c r="F110" t="s">
        <v>1366</v>
      </c>
      <c r="G110" t="s">
        <v>1367</v>
      </c>
      <c r="H110" t="s">
        <v>1529</v>
      </c>
      <c r="I110" t="s">
        <v>1369</v>
      </c>
      <c r="J110" t="s">
        <v>177</v>
      </c>
      <c r="K110" t="s">
        <v>1381</v>
      </c>
      <c r="L110" t="s">
        <v>1369</v>
      </c>
      <c r="M110" t="s">
        <v>1369</v>
      </c>
      <c r="N110" t="s">
        <v>328</v>
      </c>
      <c r="O110"/>
      <c r="P110" t="s">
        <v>1552</v>
      </c>
    </row>
    <row r="111">
      <c r="A111" t="s">
        <v>1362</v>
      </c>
      <c r="B111" t="s">
        <v>1553</v>
      </c>
      <c r="C111" t="s">
        <v>1396</v>
      </c>
      <c r="D111" t="s">
        <v>393</v>
      </c>
      <c r="E111" t="s">
        <v>1373</v>
      </c>
      <c r="F111" t="s">
        <v>1366</v>
      </c>
      <c r="G111" t="s">
        <v>1367</v>
      </c>
      <c r="H111" t="s">
        <v>1529</v>
      </c>
      <c r="I111" t="s">
        <v>1369</v>
      </c>
      <c r="J111" t="s">
        <v>1530</v>
      </c>
      <c r="K111" t="s">
        <v>1381</v>
      </c>
      <c r="L111" t="s">
        <v>1369</v>
      </c>
      <c r="M111" t="s">
        <v>1369</v>
      </c>
      <c r="N111" t="s">
        <v>328</v>
      </c>
      <c r="O111"/>
      <c r="P111" t="s">
        <v>1554</v>
      </c>
    </row>
    <row r="112">
      <c r="A112" t="s">
        <v>1362</v>
      </c>
      <c r="B112" t="s">
        <v>1555</v>
      </c>
      <c r="C112" t="s">
        <v>1396</v>
      </c>
      <c r="D112" t="s">
        <v>335</v>
      </c>
      <c r="E112" t="s">
        <v>1373</v>
      </c>
      <c r="F112" t="s">
        <v>1366</v>
      </c>
      <c r="G112" t="s">
        <v>1367</v>
      </c>
      <c r="H112" t="s">
        <v>1529</v>
      </c>
      <c r="I112" t="s">
        <v>1369</v>
      </c>
      <c r="J112" t="s">
        <v>1530</v>
      </c>
      <c r="K112" t="s">
        <v>1381</v>
      </c>
      <c r="L112" t="s">
        <v>1369</v>
      </c>
      <c r="M112" t="s">
        <v>1369</v>
      </c>
      <c r="N112" t="s">
        <v>328</v>
      </c>
      <c r="O112"/>
      <c r="P112" t="s">
        <v>1556</v>
      </c>
    </row>
    <row r="113">
      <c r="A113" t="s">
        <v>1362</v>
      </c>
      <c r="B113" t="s">
        <v>1557</v>
      </c>
      <c r="C113" t="s">
        <v>1396</v>
      </c>
      <c r="D113" t="s">
        <v>355</v>
      </c>
      <c r="E113" t="s">
        <v>1373</v>
      </c>
      <c r="F113" t="s">
        <v>1366</v>
      </c>
      <c r="G113" t="s">
        <v>1367</v>
      </c>
      <c r="H113" t="s">
        <v>1529</v>
      </c>
      <c r="I113" t="s">
        <v>1369</v>
      </c>
      <c r="J113" t="s">
        <v>1530</v>
      </c>
      <c r="K113" t="s">
        <v>1381</v>
      </c>
      <c r="L113" t="s">
        <v>1369</v>
      </c>
      <c r="M113" t="s">
        <v>1369</v>
      </c>
      <c r="N113" t="s">
        <v>338</v>
      </c>
      <c r="O113"/>
      <c r="P113" t="s">
        <v>1558</v>
      </c>
    </row>
    <row r="114">
      <c r="A114" t="s">
        <v>1362</v>
      </c>
      <c r="B114" t="s">
        <v>1559</v>
      </c>
      <c r="C114" t="s">
        <v>1396</v>
      </c>
      <c r="D114" t="s">
        <v>357</v>
      </c>
      <c r="E114" t="s">
        <v>1376</v>
      </c>
      <c r="F114" t="s">
        <v>1366</v>
      </c>
      <c r="G114" t="s">
        <v>1367</v>
      </c>
      <c r="H114" t="s">
        <v>1529</v>
      </c>
      <c r="I114" t="s">
        <v>1369</v>
      </c>
      <c r="J114" t="s">
        <v>177</v>
      </c>
      <c r="K114" t="s">
        <v>1381</v>
      </c>
      <c r="L114" t="s">
        <v>1369</v>
      </c>
      <c r="M114" t="s">
        <v>1381</v>
      </c>
      <c r="N114" t="s">
        <v>328</v>
      </c>
      <c r="O114"/>
      <c r="P114" t="s">
        <v>1560</v>
      </c>
    </row>
    <row r="115">
      <c r="A115" t="s">
        <v>1362</v>
      </c>
      <c r="B115" t="s">
        <v>1561</v>
      </c>
      <c r="C115" t="s">
        <v>1396</v>
      </c>
      <c r="D115" t="s">
        <v>397</v>
      </c>
      <c r="E115" t="s">
        <v>1376</v>
      </c>
      <c r="F115" t="s">
        <v>1366</v>
      </c>
      <c r="G115" t="s">
        <v>1367</v>
      </c>
      <c r="H115" t="s">
        <v>1529</v>
      </c>
      <c r="I115" t="s">
        <v>1369</v>
      </c>
      <c r="J115" t="s">
        <v>1530</v>
      </c>
      <c r="K115" t="s">
        <v>1381</v>
      </c>
      <c r="L115" t="s">
        <v>1369</v>
      </c>
      <c r="M115" t="s">
        <v>1369</v>
      </c>
      <c r="N115" t="s">
        <v>328</v>
      </c>
      <c r="O115"/>
      <c r="P115" t="s">
        <v>1562</v>
      </c>
    </row>
    <row r="116">
      <c r="A116" t="s">
        <v>1362</v>
      </c>
      <c r="B116" t="s">
        <v>1563</v>
      </c>
      <c r="C116" t="s">
        <v>1396</v>
      </c>
      <c r="D116" t="s">
        <v>327</v>
      </c>
      <c r="E116" t="s">
        <v>1376</v>
      </c>
      <c r="F116" t="s">
        <v>1366</v>
      </c>
      <c r="G116" t="s">
        <v>1367</v>
      </c>
      <c r="H116" t="s">
        <v>1529</v>
      </c>
      <c r="I116" t="s">
        <v>1369</v>
      </c>
      <c r="J116" t="s">
        <v>1530</v>
      </c>
      <c r="K116" t="s">
        <v>1381</v>
      </c>
      <c r="L116" t="s">
        <v>1369</v>
      </c>
      <c r="M116" t="s">
        <v>1369</v>
      </c>
      <c r="N116" t="s">
        <v>328</v>
      </c>
      <c r="O116"/>
      <c r="P116" t="s">
        <v>1564</v>
      </c>
    </row>
    <row r="117">
      <c r="A117" t="s">
        <v>1362</v>
      </c>
      <c r="B117" t="s">
        <v>1565</v>
      </c>
      <c r="C117" t="s">
        <v>1396</v>
      </c>
      <c r="D117" t="s">
        <v>357</v>
      </c>
      <c r="E117" t="s">
        <v>1380</v>
      </c>
      <c r="F117" t="s">
        <v>1366</v>
      </c>
      <c r="G117" t="s">
        <v>1367</v>
      </c>
      <c r="H117" t="s">
        <v>1529</v>
      </c>
      <c r="I117" t="s">
        <v>1369</v>
      </c>
      <c r="J117" t="s">
        <v>177</v>
      </c>
      <c r="K117" t="s">
        <v>1381</v>
      </c>
      <c r="L117" t="s">
        <v>1369</v>
      </c>
      <c r="M117" t="s">
        <v>1381</v>
      </c>
      <c r="N117" t="s">
        <v>328</v>
      </c>
      <c r="O117"/>
      <c r="P117" t="s">
        <v>1566</v>
      </c>
    </row>
    <row r="118">
      <c r="A118" t="s">
        <v>1362</v>
      </c>
      <c r="B118" t="s">
        <v>1567</v>
      </c>
      <c r="C118" t="s">
        <v>1396</v>
      </c>
      <c r="D118" t="s">
        <v>397</v>
      </c>
      <c r="E118" t="s">
        <v>1380</v>
      </c>
      <c r="F118" t="s">
        <v>1366</v>
      </c>
      <c r="G118" t="s">
        <v>1367</v>
      </c>
      <c r="H118" t="s">
        <v>1529</v>
      </c>
      <c r="I118" t="s">
        <v>1369</v>
      </c>
      <c r="J118" t="s">
        <v>1530</v>
      </c>
      <c r="K118" t="s">
        <v>1381</v>
      </c>
      <c r="L118" t="s">
        <v>1369</v>
      </c>
      <c r="M118" t="s">
        <v>1369</v>
      </c>
      <c r="N118" t="s">
        <v>328</v>
      </c>
      <c r="O118"/>
      <c r="P118" t="s">
        <v>1568</v>
      </c>
    </row>
    <row r="119">
      <c r="A119" t="s">
        <v>1362</v>
      </c>
      <c r="B119" t="s">
        <v>1569</v>
      </c>
      <c r="C119" t="s">
        <v>1396</v>
      </c>
      <c r="D119" t="s">
        <v>327</v>
      </c>
      <c r="E119" t="s">
        <v>1380</v>
      </c>
      <c r="F119" t="s">
        <v>1366</v>
      </c>
      <c r="G119" t="s">
        <v>1367</v>
      </c>
      <c r="H119" t="s">
        <v>1529</v>
      </c>
      <c r="I119" t="s">
        <v>1369</v>
      </c>
      <c r="J119" t="s">
        <v>1530</v>
      </c>
      <c r="K119" t="s">
        <v>1381</v>
      </c>
      <c r="L119" t="s">
        <v>1369</v>
      </c>
      <c r="M119" t="s">
        <v>1369</v>
      </c>
      <c r="N119" t="s">
        <v>328</v>
      </c>
      <c r="O119"/>
      <c r="P119" t="s">
        <v>1570</v>
      </c>
    </row>
    <row r="120">
      <c r="A120" t="s">
        <v>1362</v>
      </c>
      <c r="B120" t="s">
        <v>1571</v>
      </c>
      <c r="C120" t="s">
        <v>1396</v>
      </c>
      <c r="D120" t="s">
        <v>357</v>
      </c>
      <c r="E120" t="s">
        <v>1383</v>
      </c>
      <c r="F120" t="s">
        <v>1366</v>
      </c>
      <c r="G120" t="s">
        <v>1367</v>
      </c>
      <c r="H120" t="s">
        <v>1529</v>
      </c>
      <c r="I120" t="s">
        <v>1369</v>
      </c>
      <c r="J120" t="s">
        <v>177</v>
      </c>
      <c r="K120" t="s">
        <v>1381</v>
      </c>
      <c r="L120" t="s">
        <v>1369</v>
      </c>
      <c r="M120" t="s">
        <v>1369</v>
      </c>
      <c r="N120" t="s">
        <v>328</v>
      </c>
      <c r="O120"/>
      <c r="P120" t="s">
        <v>1572</v>
      </c>
    </row>
    <row r="121">
      <c r="A121" t="s">
        <v>1362</v>
      </c>
      <c r="B121" t="s">
        <v>1573</v>
      </c>
      <c r="C121" t="s">
        <v>1396</v>
      </c>
      <c r="D121" t="s">
        <v>397</v>
      </c>
      <c r="E121" t="s">
        <v>1383</v>
      </c>
      <c r="F121" t="s">
        <v>1366</v>
      </c>
      <c r="G121" t="s">
        <v>1367</v>
      </c>
      <c r="H121" t="s">
        <v>1529</v>
      </c>
      <c r="I121" t="s">
        <v>1369</v>
      </c>
      <c r="J121" t="s">
        <v>1530</v>
      </c>
      <c r="K121" t="s">
        <v>1381</v>
      </c>
      <c r="L121" t="s">
        <v>1369</v>
      </c>
      <c r="M121" t="s">
        <v>1369</v>
      </c>
      <c r="N121" t="s">
        <v>328</v>
      </c>
      <c r="O121"/>
      <c r="P121" t="s">
        <v>1574</v>
      </c>
    </row>
    <row r="122">
      <c r="A122" t="s">
        <v>1362</v>
      </c>
      <c r="B122" t="s">
        <v>1575</v>
      </c>
      <c r="C122" t="s">
        <v>1396</v>
      </c>
      <c r="D122" t="s">
        <v>327</v>
      </c>
      <c r="E122" t="s">
        <v>1383</v>
      </c>
      <c r="F122" t="s">
        <v>1366</v>
      </c>
      <c r="G122" t="s">
        <v>1367</v>
      </c>
      <c r="H122" t="s">
        <v>1529</v>
      </c>
      <c r="I122" t="s">
        <v>1369</v>
      </c>
      <c r="J122" t="s">
        <v>1530</v>
      </c>
      <c r="K122" t="s">
        <v>1381</v>
      </c>
      <c r="L122" t="s">
        <v>1369</v>
      </c>
      <c r="M122" t="s">
        <v>1369</v>
      </c>
      <c r="N122" t="s">
        <v>328</v>
      </c>
      <c r="O122"/>
      <c r="P122" t="s">
        <v>1576</v>
      </c>
    </row>
    <row r="123">
      <c r="A123" t="s">
        <v>1362</v>
      </c>
      <c r="B123" t="s">
        <v>1577</v>
      </c>
      <c r="C123" t="s">
        <v>1396</v>
      </c>
      <c r="D123" t="s">
        <v>357</v>
      </c>
      <c r="E123" t="s">
        <v>1385</v>
      </c>
      <c r="F123" t="s">
        <v>1366</v>
      </c>
      <c r="G123" t="s">
        <v>1367</v>
      </c>
      <c r="H123" t="s">
        <v>1529</v>
      </c>
      <c r="I123" t="s">
        <v>1369</v>
      </c>
      <c r="J123" t="s">
        <v>177</v>
      </c>
      <c r="K123" t="s">
        <v>1381</v>
      </c>
      <c r="L123" t="s">
        <v>1369</v>
      </c>
      <c r="M123" t="s">
        <v>1369</v>
      </c>
      <c r="N123" t="s">
        <v>328</v>
      </c>
      <c r="O123"/>
      <c r="P123" t="s">
        <v>1578</v>
      </c>
    </row>
    <row r="124">
      <c r="A124" t="s">
        <v>1362</v>
      </c>
      <c r="B124" t="s">
        <v>1579</v>
      </c>
      <c r="C124" t="s">
        <v>1396</v>
      </c>
      <c r="D124" t="s">
        <v>327</v>
      </c>
      <c r="E124" t="s">
        <v>1385</v>
      </c>
      <c r="F124" t="s">
        <v>1366</v>
      </c>
      <c r="G124" t="s">
        <v>1367</v>
      </c>
      <c r="H124" t="s">
        <v>1529</v>
      </c>
      <c r="I124" t="s">
        <v>1369</v>
      </c>
      <c r="J124" t="s">
        <v>177</v>
      </c>
      <c r="K124" t="s">
        <v>1381</v>
      </c>
      <c r="L124" t="s">
        <v>1369</v>
      </c>
      <c r="M124" t="s">
        <v>1369</v>
      </c>
      <c r="N124" t="s">
        <v>328</v>
      </c>
      <c r="O124"/>
      <c r="P124" t="s">
        <v>1580</v>
      </c>
    </row>
    <row r="125">
      <c r="A125" t="s">
        <v>1362</v>
      </c>
      <c r="B125" t="s">
        <v>1581</v>
      </c>
      <c r="C125" t="s">
        <v>1396</v>
      </c>
      <c r="D125" t="s">
        <v>357</v>
      </c>
      <c r="E125" t="s">
        <v>1388</v>
      </c>
      <c r="F125" t="s">
        <v>1366</v>
      </c>
      <c r="G125" t="s">
        <v>1367</v>
      </c>
      <c r="H125" t="s">
        <v>1529</v>
      </c>
      <c r="I125" t="s">
        <v>1369</v>
      </c>
      <c r="J125" t="s">
        <v>177</v>
      </c>
      <c r="K125" t="s">
        <v>1381</v>
      </c>
      <c r="L125" t="s">
        <v>1369</v>
      </c>
      <c r="M125" t="s">
        <v>1369</v>
      </c>
      <c r="N125" t="s">
        <v>328</v>
      </c>
      <c r="O125"/>
      <c r="P125" t="s">
        <v>1582</v>
      </c>
    </row>
    <row r="126">
      <c r="A126" t="s">
        <v>1362</v>
      </c>
      <c r="B126" t="s">
        <v>1583</v>
      </c>
      <c r="C126" t="s">
        <v>1396</v>
      </c>
      <c r="D126" t="s">
        <v>357</v>
      </c>
      <c r="E126" t="s">
        <v>1584</v>
      </c>
      <c r="F126" t="s">
        <v>1366</v>
      </c>
      <c r="G126" t="s">
        <v>1367</v>
      </c>
      <c r="H126" t="s">
        <v>1529</v>
      </c>
      <c r="I126" t="s">
        <v>1369</v>
      </c>
      <c r="J126" t="s">
        <v>177</v>
      </c>
      <c r="K126" t="s">
        <v>1381</v>
      </c>
      <c r="L126" t="s">
        <v>1369</v>
      </c>
      <c r="M126" t="s">
        <v>1381</v>
      </c>
      <c r="N126" t="s">
        <v>328</v>
      </c>
      <c r="O126"/>
      <c r="P126" t="s">
        <v>1585</v>
      </c>
    </row>
    <row r="127">
      <c r="A127" t="s">
        <v>1362</v>
      </c>
      <c r="B127" t="s">
        <v>1586</v>
      </c>
      <c r="C127" t="s">
        <v>1396</v>
      </c>
      <c r="D127" t="s">
        <v>357</v>
      </c>
      <c r="E127" t="s">
        <v>1587</v>
      </c>
      <c r="F127" t="s">
        <v>1366</v>
      </c>
      <c r="G127" t="s">
        <v>1367</v>
      </c>
      <c r="H127" t="s">
        <v>1529</v>
      </c>
      <c r="I127" t="s">
        <v>1369</v>
      </c>
      <c r="J127" t="s">
        <v>177</v>
      </c>
      <c r="K127" t="s">
        <v>1381</v>
      </c>
      <c r="L127" t="s">
        <v>1369</v>
      </c>
      <c r="M127" t="s">
        <v>1381</v>
      </c>
      <c r="N127" t="s">
        <v>328</v>
      </c>
      <c r="O127"/>
      <c r="P127" t="s">
        <v>1588</v>
      </c>
    </row>
    <row r="128">
      <c r="A128" t="s">
        <v>1362</v>
      </c>
      <c r="B128" t="s">
        <v>1589</v>
      </c>
      <c r="C128" t="s">
        <v>1396</v>
      </c>
      <c r="D128" t="s">
        <v>357</v>
      </c>
      <c r="E128" t="s">
        <v>1590</v>
      </c>
      <c r="F128" t="s">
        <v>1366</v>
      </c>
      <c r="G128" t="s">
        <v>1367</v>
      </c>
      <c r="H128" t="s">
        <v>1529</v>
      </c>
      <c r="I128" t="s">
        <v>1369</v>
      </c>
      <c r="J128" t="s">
        <v>177</v>
      </c>
      <c r="K128" t="s">
        <v>1381</v>
      </c>
      <c r="L128" t="s">
        <v>1369</v>
      </c>
      <c r="M128" t="s">
        <v>1381</v>
      </c>
      <c r="N128" t="s">
        <v>328</v>
      </c>
      <c r="O128"/>
      <c r="P128" t="s">
        <v>1591</v>
      </c>
    </row>
    <row r="129">
      <c r="A129" t="s">
        <v>1362</v>
      </c>
      <c r="B129" t="s">
        <v>1592</v>
      </c>
      <c r="C129" t="s">
        <v>1396</v>
      </c>
      <c r="D129" t="s">
        <v>357</v>
      </c>
      <c r="E129" t="s">
        <v>1391</v>
      </c>
      <c r="F129" t="s">
        <v>1366</v>
      </c>
      <c r="G129" t="s">
        <v>1367</v>
      </c>
      <c r="H129" t="s">
        <v>1529</v>
      </c>
      <c r="I129" t="s">
        <v>1369</v>
      </c>
      <c r="J129" t="s">
        <v>177</v>
      </c>
      <c r="K129" t="s">
        <v>1381</v>
      </c>
      <c r="L129" t="s">
        <v>1369</v>
      </c>
      <c r="M129" t="s">
        <v>1381</v>
      </c>
      <c r="N129" t="s">
        <v>328</v>
      </c>
      <c r="O129"/>
      <c r="P129" t="s">
        <v>1593</v>
      </c>
    </row>
    <row r="130">
      <c r="A130" t="s">
        <v>1362</v>
      </c>
      <c r="B130" t="s">
        <v>1594</v>
      </c>
      <c r="C130" t="s">
        <v>1396</v>
      </c>
      <c r="D130" t="s">
        <v>357</v>
      </c>
      <c r="E130" t="s">
        <v>1395</v>
      </c>
      <c r="F130" t="s">
        <v>1366</v>
      </c>
      <c r="G130" t="s">
        <v>1367</v>
      </c>
      <c r="H130" t="s">
        <v>1529</v>
      </c>
      <c r="I130" t="s">
        <v>1369</v>
      </c>
      <c r="J130" t="s">
        <v>177</v>
      </c>
      <c r="K130" t="s">
        <v>1381</v>
      </c>
      <c r="L130" t="s">
        <v>1369</v>
      </c>
      <c r="M130" t="s">
        <v>1381</v>
      </c>
      <c r="N130" t="s">
        <v>328</v>
      </c>
      <c r="O130"/>
      <c r="P130" t="s">
        <v>1595</v>
      </c>
    </row>
    <row r="131">
      <c r="A131" t="s">
        <v>1362</v>
      </c>
      <c r="B131" t="s">
        <v>1596</v>
      </c>
      <c r="C131" t="s">
        <v>1396</v>
      </c>
      <c r="D131" t="s">
        <v>357</v>
      </c>
      <c r="E131" t="s">
        <v>1398</v>
      </c>
      <c r="F131" t="s">
        <v>1366</v>
      </c>
      <c r="G131" t="s">
        <v>1367</v>
      </c>
      <c r="H131" t="s">
        <v>1529</v>
      </c>
      <c r="I131" t="s">
        <v>1369</v>
      </c>
      <c r="J131" t="s">
        <v>177</v>
      </c>
      <c r="K131" t="s">
        <v>1381</v>
      </c>
      <c r="L131" t="s">
        <v>1369</v>
      </c>
      <c r="M131" t="s">
        <v>1381</v>
      </c>
      <c r="N131" t="s">
        <v>328</v>
      </c>
      <c r="O131"/>
      <c r="P131" t="s">
        <v>1597</v>
      </c>
    </row>
    <row r="132">
      <c r="A132" t="s">
        <v>1362</v>
      </c>
      <c r="B132" t="s">
        <v>1598</v>
      </c>
      <c r="C132" t="s">
        <v>1396</v>
      </c>
      <c r="D132" t="s">
        <v>357</v>
      </c>
      <c r="E132" t="s">
        <v>1399</v>
      </c>
      <c r="F132" t="s">
        <v>1366</v>
      </c>
      <c r="G132" t="s">
        <v>1367</v>
      </c>
      <c r="H132" t="s">
        <v>1529</v>
      </c>
      <c r="I132" t="s">
        <v>1369</v>
      </c>
      <c r="J132" t="s">
        <v>177</v>
      </c>
      <c r="K132" t="s">
        <v>1381</v>
      </c>
      <c r="L132" t="s">
        <v>1369</v>
      </c>
      <c r="M132" t="s">
        <v>1381</v>
      </c>
      <c r="N132" t="s">
        <v>328</v>
      </c>
      <c r="O132"/>
      <c r="P132" t="s">
        <v>1599</v>
      </c>
    </row>
    <row r="133">
      <c r="A133" t="s">
        <v>1362</v>
      </c>
      <c r="B133" t="s">
        <v>1600</v>
      </c>
      <c r="C133" t="s">
        <v>1396</v>
      </c>
      <c r="D133" t="s">
        <v>357</v>
      </c>
      <c r="E133" t="s">
        <v>1400</v>
      </c>
      <c r="F133" t="s">
        <v>1366</v>
      </c>
      <c r="G133" t="s">
        <v>1367</v>
      </c>
      <c r="H133" t="s">
        <v>1529</v>
      </c>
      <c r="I133" t="s">
        <v>1369</v>
      </c>
      <c r="J133" t="s">
        <v>177</v>
      </c>
      <c r="K133" t="s">
        <v>1381</v>
      </c>
      <c r="L133" t="s">
        <v>1369</v>
      </c>
      <c r="M133" t="s">
        <v>1381</v>
      </c>
      <c r="N133" t="s">
        <v>328</v>
      </c>
      <c r="O133"/>
      <c r="P133" t="s">
        <v>1601</v>
      </c>
    </row>
    <row r="134">
      <c r="A134" t="s">
        <v>1362</v>
      </c>
      <c r="B134" t="s">
        <v>1602</v>
      </c>
      <c r="C134" t="s">
        <v>1396</v>
      </c>
      <c r="D134" t="s">
        <v>1365</v>
      </c>
      <c r="E134" t="s">
        <v>1391</v>
      </c>
      <c r="F134" t="s">
        <v>1366</v>
      </c>
      <c r="G134" t="s">
        <v>1367</v>
      </c>
      <c r="H134" t="s">
        <v>1389</v>
      </c>
      <c r="I134" t="s">
        <v>1369</v>
      </c>
      <c r="J134" t="s">
        <v>1370</v>
      </c>
      <c r="K134" t="s">
        <v>1369</v>
      </c>
      <c r="L134" t="s">
        <v>1369</v>
      </c>
      <c r="M134" t="s">
        <v>1369</v>
      </c>
      <c r="N134" t="s">
        <v>1371</v>
      </c>
      <c r="O134"/>
      <c r="P134" t="s">
        <v>1603</v>
      </c>
    </row>
    <row r="135">
      <c r="A135" t="s">
        <v>1362</v>
      </c>
      <c r="B135" t="s">
        <v>1604</v>
      </c>
      <c r="C135" t="s">
        <v>1396</v>
      </c>
      <c r="D135" t="s">
        <v>1365</v>
      </c>
      <c r="E135" t="s">
        <v>1395</v>
      </c>
      <c r="F135" t="s">
        <v>1366</v>
      </c>
      <c r="G135" t="s">
        <v>1367</v>
      </c>
      <c r="H135" t="s">
        <v>1389</v>
      </c>
      <c r="I135" t="s">
        <v>1381</v>
      </c>
      <c r="J135" t="s">
        <v>1370</v>
      </c>
      <c r="K135" t="s">
        <v>1381</v>
      </c>
      <c r="L135" t="s">
        <v>1369</v>
      </c>
      <c r="M135" t="s">
        <v>1369</v>
      </c>
      <c r="N135" t="s">
        <v>1371</v>
      </c>
      <c r="O135"/>
      <c r="P135" t="s">
        <v>1605</v>
      </c>
    </row>
    <row r="136">
      <c r="A136" t="s">
        <v>1362</v>
      </c>
      <c r="B136" t="s">
        <v>1606</v>
      </c>
      <c r="C136" t="s">
        <v>1607</v>
      </c>
      <c r="D136" t="s">
        <v>331</v>
      </c>
      <c r="E136" t="s">
        <v>1365</v>
      </c>
      <c r="F136" t="s">
        <v>1366</v>
      </c>
      <c r="G136" t="s">
        <v>496</v>
      </c>
      <c r="H136" t="s">
        <v>1393</v>
      </c>
      <c r="I136" t="s">
        <v>1369</v>
      </c>
      <c r="J136" t="s">
        <v>1370</v>
      </c>
      <c r="K136" t="s">
        <v>1381</v>
      </c>
      <c r="L136" t="s">
        <v>1369</v>
      </c>
      <c r="M136" t="s">
        <v>1369</v>
      </c>
      <c r="N136" t="s">
        <v>332</v>
      </c>
      <c r="O136"/>
      <c r="P136" t="s">
        <v>1608</v>
      </c>
    </row>
    <row r="137">
      <c r="A137" t="s">
        <v>1362</v>
      </c>
      <c r="B137" t="s">
        <v>1609</v>
      </c>
      <c r="C137" t="s">
        <v>1607</v>
      </c>
      <c r="D137" t="s">
        <v>397</v>
      </c>
      <c r="E137" t="s">
        <v>1365</v>
      </c>
      <c r="F137" t="s">
        <v>1366</v>
      </c>
      <c r="G137" t="s">
        <v>496</v>
      </c>
      <c r="H137" t="s">
        <v>1393</v>
      </c>
      <c r="I137" t="s">
        <v>1369</v>
      </c>
      <c r="J137" t="s">
        <v>1370</v>
      </c>
      <c r="K137" t="s">
        <v>1381</v>
      </c>
      <c r="L137" t="s">
        <v>1369</v>
      </c>
      <c r="M137" t="s">
        <v>1369</v>
      </c>
      <c r="N137" t="s">
        <v>328</v>
      </c>
      <c r="O137"/>
      <c r="P137" t="s">
        <v>1610</v>
      </c>
    </row>
    <row r="138">
      <c r="A138" t="s">
        <v>1362</v>
      </c>
      <c r="B138" t="s">
        <v>1611</v>
      </c>
      <c r="C138" t="s">
        <v>1607</v>
      </c>
      <c r="D138" t="s">
        <v>384</v>
      </c>
      <c r="E138" t="s">
        <v>1365</v>
      </c>
      <c r="F138" t="s">
        <v>1366</v>
      </c>
      <c r="G138" t="s">
        <v>496</v>
      </c>
      <c r="H138" t="s">
        <v>1393</v>
      </c>
      <c r="I138" t="s">
        <v>1369</v>
      </c>
      <c r="J138" t="s">
        <v>1370</v>
      </c>
      <c r="K138" t="s">
        <v>1381</v>
      </c>
      <c r="L138" t="s">
        <v>1369</v>
      </c>
      <c r="M138" t="s">
        <v>1369</v>
      </c>
      <c r="N138" t="s">
        <v>334</v>
      </c>
      <c r="O138"/>
      <c r="P138" t="s">
        <v>1612</v>
      </c>
    </row>
    <row r="139">
      <c r="A139" t="s">
        <v>1362</v>
      </c>
      <c r="B139" t="s">
        <v>1613</v>
      </c>
      <c r="C139" t="s">
        <v>1607</v>
      </c>
      <c r="D139" t="s">
        <v>349</v>
      </c>
      <c r="E139" t="s">
        <v>1365</v>
      </c>
      <c r="F139" t="s">
        <v>1366</v>
      </c>
      <c r="G139" t="s">
        <v>496</v>
      </c>
      <c r="H139" t="s">
        <v>1393</v>
      </c>
      <c r="I139" t="s">
        <v>1369</v>
      </c>
      <c r="J139" t="s">
        <v>1370</v>
      </c>
      <c r="K139" t="s">
        <v>1381</v>
      </c>
      <c r="L139" t="s">
        <v>1369</v>
      </c>
      <c r="M139" t="s">
        <v>1369</v>
      </c>
      <c r="N139" t="s">
        <v>324</v>
      </c>
      <c r="O139"/>
      <c r="P139" t="s">
        <v>1614</v>
      </c>
    </row>
    <row r="140">
      <c r="A140" t="s">
        <v>1362</v>
      </c>
      <c r="B140" t="s">
        <v>1615</v>
      </c>
      <c r="C140" t="s">
        <v>1607</v>
      </c>
      <c r="D140" t="s">
        <v>382</v>
      </c>
      <c r="E140" t="s">
        <v>1365</v>
      </c>
      <c r="F140" t="s">
        <v>1366</v>
      </c>
      <c r="G140" t="s">
        <v>1616</v>
      </c>
      <c r="H140" t="s">
        <v>1393</v>
      </c>
      <c r="I140" t="s">
        <v>1369</v>
      </c>
      <c r="J140" t="s">
        <v>1370</v>
      </c>
      <c r="K140" t="s">
        <v>1381</v>
      </c>
      <c r="L140" t="s">
        <v>1369</v>
      </c>
      <c r="M140" t="s">
        <v>1369</v>
      </c>
      <c r="N140" t="s">
        <v>332</v>
      </c>
      <c r="O140"/>
      <c r="P140" t="s">
        <v>1617</v>
      </c>
    </row>
    <row r="141">
      <c r="A141" t="s">
        <v>1362</v>
      </c>
      <c r="B141" t="s">
        <v>1618</v>
      </c>
      <c r="C141" t="s">
        <v>1607</v>
      </c>
      <c r="D141" t="s">
        <v>331</v>
      </c>
      <c r="E141" t="s">
        <v>1365</v>
      </c>
      <c r="F141" t="s">
        <v>1366</v>
      </c>
      <c r="G141" t="s">
        <v>496</v>
      </c>
      <c r="H141" t="s">
        <v>1393</v>
      </c>
      <c r="I141" t="s">
        <v>1369</v>
      </c>
      <c r="J141" t="s">
        <v>1370</v>
      </c>
      <c r="K141" t="s">
        <v>1381</v>
      </c>
      <c r="L141" t="s">
        <v>1369</v>
      </c>
      <c r="M141" t="s">
        <v>1369</v>
      </c>
      <c r="N141" t="s">
        <v>332</v>
      </c>
      <c r="O141"/>
      <c r="P141" t="s">
        <v>1619</v>
      </c>
    </row>
    <row r="142">
      <c r="A142" t="s">
        <v>1362</v>
      </c>
      <c r="B142" t="s">
        <v>1620</v>
      </c>
      <c r="C142" t="s">
        <v>1621</v>
      </c>
      <c r="D142" t="s">
        <v>363</v>
      </c>
      <c r="E142" t="s">
        <v>1365</v>
      </c>
      <c r="F142" t="s">
        <v>1366</v>
      </c>
      <c r="G142" t="s">
        <v>496</v>
      </c>
      <c r="H142" t="s">
        <v>1393</v>
      </c>
      <c r="I142" t="s">
        <v>1369</v>
      </c>
      <c r="J142" t="s">
        <v>1370</v>
      </c>
      <c r="K142" t="s">
        <v>1381</v>
      </c>
      <c r="L142" t="s">
        <v>1381</v>
      </c>
      <c r="M142" t="s">
        <v>1369</v>
      </c>
      <c r="N142" t="s">
        <v>328</v>
      </c>
      <c r="O142"/>
      <c r="P142" t="s">
        <v>1622</v>
      </c>
    </row>
    <row r="143">
      <c r="A143" t="s">
        <v>1362</v>
      </c>
      <c r="B143" t="s">
        <v>1623</v>
      </c>
      <c r="C143" t="s">
        <v>1624</v>
      </c>
      <c r="D143" t="s">
        <v>331</v>
      </c>
      <c r="E143" t="s">
        <v>1363</v>
      </c>
      <c r="F143" t="s">
        <v>1366</v>
      </c>
      <c r="G143" t="s">
        <v>1367</v>
      </c>
      <c r="H143" t="s">
        <v>1374</v>
      </c>
      <c r="I143" t="s">
        <v>1369</v>
      </c>
      <c r="J143" t="s">
        <v>1370</v>
      </c>
      <c r="K143" t="s">
        <v>1369</v>
      </c>
      <c r="L143" t="s">
        <v>1369</v>
      </c>
      <c r="M143" t="s">
        <v>1369</v>
      </c>
      <c r="N143" t="s">
        <v>332</v>
      </c>
      <c r="O143"/>
      <c r="P143" t="s">
        <v>1625</v>
      </c>
    </row>
    <row r="144">
      <c r="A144" t="s">
        <v>1362</v>
      </c>
      <c r="B144" t="s">
        <v>1626</v>
      </c>
      <c r="C144" t="s">
        <v>1624</v>
      </c>
      <c r="D144" t="s">
        <v>367</v>
      </c>
      <c r="E144" t="s">
        <v>1363</v>
      </c>
      <c r="F144" t="s">
        <v>1366</v>
      </c>
      <c r="G144" t="s">
        <v>1367</v>
      </c>
      <c r="H144" t="s">
        <v>1374</v>
      </c>
      <c r="I144" t="s">
        <v>1369</v>
      </c>
      <c r="J144" t="s">
        <v>1370</v>
      </c>
      <c r="K144" t="s">
        <v>1369</v>
      </c>
      <c r="L144" t="s">
        <v>1369</v>
      </c>
      <c r="M144" t="s">
        <v>1369</v>
      </c>
      <c r="N144" t="s">
        <v>332</v>
      </c>
      <c r="O144"/>
      <c r="P144" t="s">
        <v>1625</v>
      </c>
    </row>
    <row r="145">
      <c r="A145" t="s">
        <v>1362</v>
      </c>
      <c r="B145" t="s">
        <v>1627</v>
      </c>
      <c r="C145" t="s">
        <v>1624</v>
      </c>
      <c r="D145" t="s">
        <v>382</v>
      </c>
      <c r="E145" t="s">
        <v>1363</v>
      </c>
      <c r="F145" t="s">
        <v>1366</v>
      </c>
      <c r="G145" t="s">
        <v>1367</v>
      </c>
      <c r="H145" t="s">
        <v>1374</v>
      </c>
      <c r="I145" t="s">
        <v>1369</v>
      </c>
      <c r="J145" t="s">
        <v>1370</v>
      </c>
      <c r="K145" t="s">
        <v>1369</v>
      </c>
      <c r="L145" t="s">
        <v>1369</v>
      </c>
      <c r="M145" t="s">
        <v>1369</v>
      </c>
      <c r="N145" t="s">
        <v>332</v>
      </c>
      <c r="O145"/>
      <c r="P145" t="s">
        <v>1625</v>
      </c>
    </row>
    <row r="146">
      <c r="A146" t="s">
        <v>1362</v>
      </c>
      <c r="B146" t="s">
        <v>1628</v>
      </c>
      <c r="C146" t="s">
        <v>1624</v>
      </c>
      <c r="D146" t="s">
        <v>331</v>
      </c>
      <c r="E146" t="s">
        <v>1363</v>
      </c>
      <c r="F146" t="s">
        <v>1366</v>
      </c>
      <c r="G146" t="s">
        <v>1367</v>
      </c>
      <c r="H146" t="s">
        <v>1374</v>
      </c>
      <c r="I146" t="s">
        <v>1369</v>
      </c>
      <c r="J146" t="s">
        <v>1370</v>
      </c>
      <c r="K146" t="s">
        <v>1369</v>
      </c>
      <c r="L146" t="s">
        <v>1369</v>
      </c>
      <c r="M146" t="s">
        <v>1369</v>
      </c>
      <c r="N146" t="s">
        <v>332</v>
      </c>
      <c r="O146"/>
      <c r="P146" t="s">
        <v>1629</v>
      </c>
    </row>
    <row r="147">
      <c r="A147" t="s">
        <v>1362</v>
      </c>
      <c r="B147" t="s">
        <v>1630</v>
      </c>
      <c r="C147" t="s">
        <v>1624</v>
      </c>
      <c r="D147" t="s">
        <v>367</v>
      </c>
      <c r="E147" t="s">
        <v>1363</v>
      </c>
      <c r="F147" t="s">
        <v>1366</v>
      </c>
      <c r="G147" t="s">
        <v>1367</v>
      </c>
      <c r="H147" t="s">
        <v>1374</v>
      </c>
      <c r="I147" t="s">
        <v>1369</v>
      </c>
      <c r="J147" t="s">
        <v>1370</v>
      </c>
      <c r="K147" t="s">
        <v>1369</v>
      </c>
      <c r="L147" t="s">
        <v>1369</v>
      </c>
      <c r="M147" t="s">
        <v>1369</v>
      </c>
      <c r="N147" t="s">
        <v>332</v>
      </c>
      <c r="O147"/>
      <c r="P147" t="s">
        <v>1629</v>
      </c>
    </row>
    <row r="148">
      <c r="A148" t="s">
        <v>1362</v>
      </c>
      <c r="B148" t="s">
        <v>1631</v>
      </c>
      <c r="C148" t="s">
        <v>1624</v>
      </c>
      <c r="D148" t="s">
        <v>382</v>
      </c>
      <c r="E148" t="s">
        <v>1363</v>
      </c>
      <c r="F148" t="s">
        <v>1366</v>
      </c>
      <c r="G148" t="s">
        <v>1367</v>
      </c>
      <c r="H148" t="s">
        <v>1374</v>
      </c>
      <c r="I148" t="s">
        <v>1369</v>
      </c>
      <c r="J148" t="s">
        <v>1370</v>
      </c>
      <c r="K148" t="s">
        <v>1369</v>
      </c>
      <c r="L148" t="s">
        <v>1369</v>
      </c>
      <c r="M148" t="s">
        <v>1369</v>
      </c>
      <c r="N148" t="s">
        <v>332</v>
      </c>
      <c r="O148"/>
      <c r="P148" t="s">
        <v>1629</v>
      </c>
    </row>
    <row r="149">
      <c r="A149" t="s">
        <v>1362</v>
      </c>
      <c r="B149" t="s">
        <v>1632</v>
      </c>
      <c r="C149" t="s">
        <v>1624</v>
      </c>
      <c r="D149" t="s">
        <v>331</v>
      </c>
      <c r="E149" t="s">
        <v>1363</v>
      </c>
      <c r="F149" t="s">
        <v>1366</v>
      </c>
      <c r="G149" t="s">
        <v>1367</v>
      </c>
      <c r="H149" t="s">
        <v>1377</v>
      </c>
      <c r="I149" t="s">
        <v>1381</v>
      </c>
      <c r="J149" t="s">
        <v>1370</v>
      </c>
      <c r="K149" t="s">
        <v>1381</v>
      </c>
      <c r="L149" t="s">
        <v>1381</v>
      </c>
      <c r="M149" t="s">
        <v>1369</v>
      </c>
      <c r="N149" t="s">
        <v>332</v>
      </c>
      <c r="O149"/>
      <c r="P149" t="s">
        <v>1633</v>
      </c>
    </row>
    <row r="150">
      <c r="A150" t="s">
        <v>1362</v>
      </c>
      <c r="B150" t="s">
        <v>1634</v>
      </c>
      <c r="C150" t="s">
        <v>1624</v>
      </c>
      <c r="D150" t="s">
        <v>375</v>
      </c>
      <c r="E150" t="s">
        <v>1363</v>
      </c>
      <c r="F150" t="s">
        <v>1366</v>
      </c>
      <c r="G150" t="s">
        <v>1367</v>
      </c>
      <c r="H150" t="s">
        <v>1374</v>
      </c>
      <c r="I150" t="s">
        <v>1369</v>
      </c>
      <c r="J150" t="s">
        <v>1370</v>
      </c>
      <c r="K150" t="s">
        <v>1369</v>
      </c>
      <c r="L150" t="s">
        <v>1369</v>
      </c>
      <c r="M150" t="s">
        <v>1369</v>
      </c>
      <c r="N150" t="s">
        <v>328</v>
      </c>
      <c r="O150"/>
      <c r="P150" t="s">
        <v>1635</v>
      </c>
    </row>
    <row r="151">
      <c r="A151" t="s">
        <v>1362</v>
      </c>
      <c r="B151" t="s">
        <v>1636</v>
      </c>
      <c r="C151" t="s">
        <v>1624</v>
      </c>
      <c r="D151" t="s">
        <v>397</v>
      </c>
      <c r="E151" t="s">
        <v>1363</v>
      </c>
      <c r="F151" t="s">
        <v>1366</v>
      </c>
      <c r="G151" t="s">
        <v>1367</v>
      </c>
      <c r="H151" t="s">
        <v>1374</v>
      </c>
      <c r="I151" t="s">
        <v>1369</v>
      </c>
      <c r="J151" t="s">
        <v>1370</v>
      </c>
      <c r="K151" t="s">
        <v>1369</v>
      </c>
      <c r="L151" t="s">
        <v>1369</v>
      </c>
      <c r="M151" t="s">
        <v>1369</v>
      </c>
      <c r="N151" t="s">
        <v>328</v>
      </c>
      <c r="O151"/>
      <c r="P151" t="s">
        <v>1635</v>
      </c>
    </row>
    <row r="152">
      <c r="A152" t="s">
        <v>1362</v>
      </c>
      <c r="B152" t="s">
        <v>1637</v>
      </c>
      <c r="C152" t="s">
        <v>1624</v>
      </c>
      <c r="D152" t="s">
        <v>357</v>
      </c>
      <c r="E152" t="s">
        <v>1363</v>
      </c>
      <c r="F152" t="s">
        <v>1366</v>
      </c>
      <c r="G152" t="s">
        <v>1367</v>
      </c>
      <c r="H152" t="s">
        <v>1374</v>
      </c>
      <c r="I152" t="s">
        <v>1369</v>
      </c>
      <c r="J152" t="s">
        <v>1370</v>
      </c>
      <c r="K152" t="s">
        <v>1369</v>
      </c>
      <c r="L152" t="s">
        <v>1369</v>
      </c>
      <c r="M152" t="s">
        <v>1369</v>
      </c>
      <c r="N152" t="s">
        <v>328</v>
      </c>
      <c r="O152"/>
      <c r="P152" t="s">
        <v>1638</v>
      </c>
    </row>
    <row r="153">
      <c r="A153" t="s">
        <v>1362</v>
      </c>
      <c r="B153" t="s">
        <v>1639</v>
      </c>
      <c r="C153" t="s">
        <v>1624</v>
      </c>
      <c r="D153" t="s">
        <v>339</v>
      </c>
      <c r="E153" t="s">
        <v>1363</v>
      </c>
      <c r="F153" t="s">
        <v>1366</v>
      </c>
      <c r="G153" t="s">
        <v>1367</v>
      </c>
      <c r="H153" t="s">
        <v>1374</v>
      </c>
      <c r="I153" t="s">
        <v>1369</v>
      </c>
      <c r="J153" t="s">
        <v>1370</v>
      </c>
      <c r="K153" t="s">
        <v>1369</v>
      </c>
      <c r="L153" t="s">
        <v>1369</v>
      </c>
      <c r="M153" t="s">
        <v>1369</v>
      </c>
      <c r="N153" t="s">
        <v>328</v>
      </c>
      <c r="O153"/>
      <c r="P153" t="s">
        <v>1640</v>
      </c>
    </row>
    <row r="154">
      <c r="A154" t="s">
        <v>1362</v>
      </c>
      <c r="B154" t="s">
        <v>1641</v>
      </c>
      <c r="C154" t="s">
        <v>1624</v>
      </c>
      <c r="D154" t="s">
        <v>359</v>
      </c>
      <c r="E154" t="s">
        <v>1363</v>
      </c>
      <c r="F154" t="s">
        <v>1366</v>
      </c>
      <c r="G154" t="s">
        <v>1367</v>
      </c>
      <c r="H154" t="s">
        <v>1374</v>
      </c>
      <c r="I154" t="s">
        <v>1369</v>
      </c>
      <c r="J154" t="s">
        <v>1370</v>
      </c>
      <c r="K154" t="s">
        <v>1369</v>
      </c>
      <c r="L154" t="s">
        <v>1369</v>
      </c>
      <c r="M154" t="s">
        <v>1369</v>
      </c>
      <c r="N154" t="s">
        <v>328</v>
      </c>
      <c r="O154"/>
      <c r="P154" t="s">
        <v>1640</v>
      </c>
    </row>
    <row r="155">
      <c r="A155" t="s">
        <v>1362</v>
      </c>
      <c r="B155" t="s">
        <v>1642</v>
      </c>
      <c r="C155" t="s">
        <v>1624</v>
      </c>
      <c r="D155" t="s">
        <v>363</v>
      </c>
      <c r="E155" t="s">
        <v>1363</v>
      </c>
      <c r="F155" t="s">
        <v>1366</v>
      </c>
      <c r="G155" t="s">
        <v>1367</v>
      </c>
      <c r="H155" t="s">
        <v>1374</v>
      </c>
      <c r="I155" t="s">
        <v>1369</v>
      </c>
      <c r="J155" t="s">
        <v>1370</v>
      </c>
      <c r="K155" t="s">
        <v>1369</v>
      </c>
      <c r="L155" t="s">
        <v>1369</v>
      </c>
      <c r="M155" t="s">
        <v>1369</v>
      </c>
      <c r="N155" t="s">
        <v>328</v>
      </c>
      <c r="O155"/>
      <c r="P155" t="s">
        <v>1640</v>
      </c>
    </row>
    <row r="156">
      <c r="A156" t="s">
        <v>1362</v>
      </c>
      <c r="B156" t="s">
        <v>1643</v>
      </c>
      <c r="C156" t="s">
        <v>1624</v>
      </c>
      <c r="D156" t="s">
        <v>375</v>
      </c>
      <c r="E156" t="s">
        <v>1363</v>
      </c>
      <c r="F156" t="s">
        <v>1366</v>
      </c>
      <c r="G156" t="s">
        <v>1367</v>
      </c>
      <c r="H156" t="s">
        <v>1374</v>
      </c>
      <c r="I156" t="s">
        <v>1369</v>
      </c>
      <c r="J156" t="s">
        <v>1370</v>
      </c>
      <c r="K156" t="s">
        <v>1369</v>
      </c>
      <c r="L156" t="s">
        <v>1369</v>
      </c>
      <c r="M156" t="s">
        <v>1369</v>
      </c>
      <c r="N156" t="s">
        <v>328</v>
      </c>
      <c r="O156"/>
      <c r="P156" t="s">
        <v>1640</v>
      </c>
    </row>
    <row r="157">
      <c r="A157" t="s">
        <v>1362</v>
      </c>
      <c r="B157" t="s">
        <v>1644</v>
      </c>
      <c r="C157" t="s">
        <v>1624</v>
      </c>
      <c r="D157" t="s">
        <v>359</v>
      </c>
      <c r="E157" t="s">
        <v>1363</v>
      </c>
      <c r="F157" t="s">
        <v>1366</v>
      </c>
      <c r="G157" t="s">
        <v>1367</v>
      </c>
      <c r="H157" t="s">
        <v>1374</v>
      </c>
      <c r="I157" t="s">
        <v>1369</v>
      </c>
      <c r="J157" t="s">
        <v>1370</v>
      </c>
      <c r="K157" t="s">
        <v>1369</v>
      </c>
      <c r="L157" t="s">
        <v>1369</v>
      </c>
      <c r="M157" t="s">
        <v>1369</v>
      </c>
      <c r="N157" t="s">
        <v>328</v>
      </c>
      <c r="O157"/>
      <c r="P157" t="s">
        <v>1645</v>
      </c>
    </row>
    <row r="158">
      <c r="A158" t="s">
        <v>1362</v>
      </c>
      <c r="B158" t="s">
        <v>1646</v>
      </c>
      <c r="C158" t="s">
        <v>1624</v>
      </c>
      <c r="D158" t="s">
        <v>362</v>
      </c>
      <c r="E158" t="s">
        <v>1363</v>
      </c>
      <c r="F158" t="s">
        <v>1366</v>
      </c>
      <c r="G158" t="s">
        <v>1367</v>
      </c>
      <c r="H158" t="s">
        <v>1374</v>
      </c>
      <c r="I158" t="s">
        <v>1369</v>
      </c>
      <c r="J158" t="s">
        <v>1370</v>
      </c>
      <c r="K158" t="s">
        <v>1369</v>
      </c>
      <c r="L158" t="s">
        <v>1369</v>
      </c>
      <c r="M158" t="s">
        <v>1369</v>
      </c>
      <c r="N158" t="s">
        <v>328</v>
      </c>
      <c r="O158"/>
      <c r="P158" t="s">
        <v>1645</v>
      </c>
    </row>
    <row r="159">
      <c r="A159" t="s">
        <v>1362</v>
      </c>
      <c r="B159" t="s">
        <v>1647</v>
      </c>
      <c r="C159" t="s">
        <v>1624</v>
      </c>
      <c r="D159" t="s">
        <v>371</v>
      </c>
      <c r="E159" t="s">
        <v>1363</v>
      </c>
      <c r="F159" t="s">
        <v>1366</v>
      </c>
      <c r="G159" t="s">
        <v>1367</v>
      </c>
      <c r="H159" t="s">
        <v>1374</v>
      </c>
      <c r="I159" t="s">
        <v>1369</v>
      </c>
      <c r="J159" t="s">
        <v>1370</v>
      </c>
      <c r="K159" t="s">
        <v>1369</v>
      </c>
      <c r="L159" t="s">
        <v>1369</v>
      </c>
      <c r="M159" t="s">
        <v>1369</v>
      </c>
      <c r="N159" t="s">
        <v>328</v>
      </c>
      <c r="O159"/>
      <c r="P159" t="s">
        <v>1645</v>
      </c>
    </row>
    <row r="160">
      <c r="A160" t="s">
        <v>1362</v>
      </c>
      <c r="B160" t="s">
        <v>1648</v>
      </c>
      <c r="C160" t="s">
        <v>1624</v>
      </c>
      <c r="D160" t="s">
        <v>375</v>
      </c>
      <c r="E160" t="s">
        <v>1363</v>
      </c>
      <c r="F160" t="s">
        <v>1366</v>
      </c>
      <c r="G160" t="s">
        <v>1367</v>
      </c>
      <c r="H160" t="s">
        <v>1374</v>
      </c>
      <c r="I160" t="s">
        <v>1369</v>
      </c>
      <c r="J160" t="s">
        <v>1370</v>
      </c>
      <c r="K160" t="s">
        <v>1369</v>
      </c>
      <c r="L160" t="s">
        <v>1369</v>
      </c>
      <c r="M160" t="s">
        <v>1369</v>
      </c>
      <c r="N160" t="s">
        <v>328</v>
      </c>
      <c r="O160"/>
      <c r="P160" t="s">
        <v>1645</v>
      </c>
    </row>
    <row r="161">
      <c r="A161" t="s">
        <v>1362</v>
      </c>
      <c r="B161" t="s">
        <v>1649</v>
      </c>
      <c r="C161" t="s">
        <v>1624</v>
      </c>
      <c r="D161" t="s">
        <v>397</v>
      </c>
      <c r="E161" t="s">
        <v>1363</v>
      </c>
      <c r="F161" t="s">
        <v>1366</v>
      </c>
      <c r="G161" t="s">
        <v>1367</v>
      </c>
      <c r="H161" t="s">
        <v>1374</v>
      </c>
      <c r="I161" t="s">
        <v>1369</v>
      </c>
      <c r="J161" t="s">
        <v>1370</v>
      </c>
      <c r="K161" t="s">
        <v>1369</v>
      </c>
      <c r="L161" t="s">
        <v>1369</v>
      </c>
      <c r="M161" t="s">
        <v>1369</v>
      </c>
      <c r="N161" t="s">
        <v>328</v>
      </c>
      <c r="O161"/>
      <c r="P161" t="s">
        <v>1645</v>
      </c>
    </row>
    <row r="162">
      <c r="A162" t="s">
        <v>1362</v>
      </c>
      <c r="B162" t="s">
        <v>1650</v>
      </c>
      <c r="C162" t="s">
        <v>1624</v>
      </c>
      <c r="D162" t="s">
        <v>339</v>
      </c>
      <c r="E162" t="s">
        <v>1363</v>
      </c>
      <c r="F162" t="s">
        <v>1366</v>
      </c>
      <c r="G162" t="s">
        <v>1367</v>
      </c>
      <c r="H162" t="s">
        <v>1374</v>
      </c>
      <c r="I162" t="s">
        <v>1369</v>
      </c>
      <c r="J162" t="s">
        <v>1370</v>
      </c>
      <c r="K162" t="s">
        <v>1369</v>
      </c>
      <c r="L162" t="s">
        <v>1369</v>
      </c>
      <c r="M162" t="s">
        <v>1369</v>
      </c>
      <c r="N162" t="s">
        <v>328</v>
      </c>
      <c r="O162"/>
      <c r="P162" t="s">
        <v>1651</v>
      </c>
    </row>
    <row r="163">
      <c r="A163" t="s">
        <v>1362</v>
      </c>
      <c r="B163" t="s">
        <v>1652</v>
      </c>
      <c r="C163" t="s">
        <v>1624</v>
      </c>
      <c r="D163" t="s">
        <v>359</v>
      </c>
      <c r="E163" t="s">
        <v>1363</v>
      </c>
      <c r="F163" t="s">
        <v>1366</v>
      </c>
      <c r="G163" t="s">
        <v>1367</v>
      </c>
      <c r="H163" t="s">
        <v>1374</v>
      </c>
      <c r="I163" t="s">
        <v>1369</v>
      </c>
      <c r="J163" t="s">
        <v>1370</v>
      </c>
      <c r="K163" t="s">
        <v>1369</v>
      </c>
      <c r="L163" t="s">
        <v>1369</v>
      </c>
      <c r="M163" t="s">
        <v>1369</v>
      </c>
      <c r="N163" t="s">
        <v>328</v>
      </c>
      <c r="O163"/>
      <c r="P163" t="s">
        <v>1651</v>
      </c>
    </row>
    <row r="164">
      <c r="A164" t="s">
        <v>1362</v>
      </c>
      <c r="B164" t="s">
        <v>1653</v>
      </c>
      <c r="C164" t="s">
        <v>1624</v>
      </c>
      <c r="D164" t="s">
        <v>375</v>
      </c>
      <c r="E164" t="s">
        <v>1363</v>
      </c>
      <c r="F164" t="s">
        <v>1366</v>
      </c>
      <c r="G164" t="s">
        <v>1367</v>
      </c>
      <c r="H164" t="s">
        <v>1374</v>
      </c>
      <c r="I164" t="s">
        <v>1369</v>
      </c>
      <c r="J164" t="s">
        <v>1370</v>
      </c>
      <c r="K164" t="s">
        <v>1369</v>
      </c>
      <c r="L164" t="s">
        <v>1369</v>
      </c>
      <c r="M164" t="s">
        <v>1369</v>
      </c>
      <c r="N164" t="s">
        <v>328</v>
      </c>
      <c r="O164"/>
      <c r="P164" t="s">
        <v>1651</v>
      </c>
    </row>
    <row r="165">
      <c r="A165" t="s">
        <v>1362</v>
      </c>
      <c r="B165" t="s">
        <v>1654</v>
      </c>
      <c r="C165" t="s">
        <v>1624</v>
      </c>
      <c r="D165" t="s">
        <v>357</v>
      </c>
      <c r="E165" t="s">
        <v>1363</v>
      </c>
      <c r="F165" t="s">
        <v>1366</v>
      </c>
      <c r="G165" t="s">
        <v>1367</v>
      </c>
      <c r="H165" t="s">
        <v>1374</v>
      </c>
      <c r="I165" t="s">
        <v>1369</v>
      </c>
      <c r="J165" t="s">
        <v>1370</v>
      </c>
      <c r="K165" t="s">
        <v>1369</v>
      </c>
      <c r="L165" t="s">
        <v>1369</v>
      </c>
      <c r="M165" t="s">
        <v>1369</v>
      </c>
      <c r="N165" t="s">
        <v>328</v>
      </c>
      <c r="O165"/>
      <c r="P165" t="s">
        <v>1655</v>
      </c>
    </row>
    <row r="166">
      <c r="A166" t="s">
        <v>1362</v>
      </c>
      <c r="B166" t="s">
        <v>1656</v>
      </c>
      <c r="C166" t="s">
        <v>1624</v>
      </c>
      <c r="D166" t="s">
        <v>359</v>
      </c>
      <c r="E166" t="s">
        <v>1363</v>
      </c>
      <c r="F166" t="s">
        <v>1366</v>
      </c>
      <c r="G166" t="s">
        <v>1367</v>
      </c>
      <c r="H166" t="s">
        <v>1374</v>
      </c>
      <c r="I166" t="s">
        <v>1369</v>
      </c>
      <c r="J166" t="s">
        <v>1370</v>
      </c>
      <c r="K166" t="s">
        <v>1369</v>
      </c>
      <c r="L166" t="s">
        <v>1369</v>
      </c>
      <c r="M166" t="s">
        <v>1369</v>
      </c>
      <c r="N166" t="s">
        <v>328</v>
      </c>
      <c r="O166"/>
      <c r="P166" t="s">
        <v>1657</v>
      </c>
    </row>
    <row r="167">
      <c r="A167" t="s">
        <v>1362</v>
      </c>
      <c r="B167" t="s">
        <v>1658</v>
      </c>
      <c r="C167" t="s">
        <v>1624</v>
      </c>
      <c r="D167" t="s">
        <v>375</v>
      </c>
      <c r="E167" t="s">
        <v>1363</v>
      </c>
      <c r="F167" t="s">
        <v>1366</v>
      </c>
      <c r="G167" t="s">
        <v>1367</v>
      </c>
      <c r="H167" t="s">
        <v>1374</v>
      </c>
      <c r="I167" t="s">
        <v>1369</v>
      </c>
      <c r="J167" t="s">
        <v>1370</v>
      </c>
      <c r="K167" t="s">
        <v>1369</v>
      </c>
      <c r="L167" t="s">
        <v>1369</v>
      </c>
      <c r="M167" t="s">
        <v>1369</v>
      </c>
      <c r="N167" t="s">
        <v>328</v>
      </c>
      <c r="O167"/>
      <c r="P167" t="s">
        <v>1657</v>
      </c>
    </row>
    <row r="168">
      <c r="A168" t="s">
        <v>1362</v>
      </c>
      <c r="B168" t="s">
        <v>1659</v>
      </c>
      <c r="C168" t="s">
        <v>1624</v>
      </c>
      <c r="D168" t="s">
        <v>393</v>
      </c>
      <c r="E168" t="s">
        <v>1363</v>
      </c>
      <c r="F168" t="s">
        <v>1366</v>
      </c>
      <c r="G168" t="s">
        <v>1367</v>
      </c>
      <c r="H168" t="s">
        <v>1374</v>
      </c>
      <c r="I168" t="s">
        <v>1369</v>
      </c>
      <c r="J168" t="s">
        <v>1370</v>
      </c>
      <c r="K168" t="s">
        <v>1369</v>
      </c>
      <c r="L168" t="s">
        <v>1369</v>
      </c>
      <c r="M168" t="s">
        <v>1369</v>
      </c>
      <c r="N168" t="s">
        <v>328</v>
      </c>
      <c r="O168"/>
      <c r="P168" t="s">
        <v>1657</v>
      </c>
    </row>
    <row r="169">
      <c r="A169" t="s">
        <v>1362</v>
      </c>
      <c r="B169" t="s">
        <v>1660</v>
      </c>
      <c r="C169" t="s">
        <v>1624</v>
      </c>
      <c r="D169" t="s">
        <v>341</v>
      </c>
      <c r="E169" t="s">
        <v>1363</v>
      </c>
      <c r="F169" t="s">
        <v>1366</v>
      </c>
      <c r="G169" t="s">
        <v>1367</v>
      </c>
      <c r="H169" t="s">
        <v>1374</v>
      </c>
      <c r="I169" t="s">
        <v>1369</v>
      </c>
      <c r="J169" t="s">
        <v>1370</v>
      </c>
      <c r="K169" t="s">
        <v>1369</v>
      </c>
      <c r="L169" t="s">
        <v>1369</v>
      </c>
      <c r="M169" t="s">
        <v>1369</v>
      </c>
      <c r="N169" t="s">
        <v>328</v>
      </c>
      <c r="O169"/>
      <c r="P169" t="s">
        <v>1661</v>
      </c>
    </row>
    <row r="170">
      <c r="A170" t="s">
        <v>1362</v>
      </c>
      <c r="B170" t="s">
        <v>1662</v>
      </c>
      <c r="C170" t="s">
        <v>1624</v>
      </c>
      <c r="D170" t="s">
        <v>359</v>
      </c>
      <c r="E170" t="s">
        <v>1363</v>
      </c>
      <c r="F170" t="s">
        <v>1366</v>
      </c>
      <c r="G170" t="s">
        <v>1367</v>
      </c>
      <c r="H170" t="s">
        <v>1374</v>
      </c>
      <c r="I170" t="s">
        <v>1369</v>
      </c>
      <c r="J170" t="s">
        <v>1370</v>
      </c>
      <c r="K170" t="s">
        <v>1369</v>
      </c>
      <c r="L170" t="s">
        <v>1369</v>
      </c>
      <c r="M170" t="s">
        <v>1369</v>
      </c>
      <c r="N170" t="s">
        <v>328</v>
      </c>
      <c r="O170"/>
      <c r="P170" t="s">
        <v>1661</v>
      </c>
    </row>
    <row r="171">
      <c r="A171" t="s">
        <v>1362</v>
      </c>
      <c r="B171" t="s">
        <v>1663</v>
      </c>
      <c r="C171" t="s">
        <v>1624</v>
      </c>
      <c r="D171" t="s">
        <v>375</v>
      </c>
      <c r="E171" t="s">
        <v>1363</v>
      </c>
      <c r="F171" t="s">
        <v>1366</v>
      </c>
      <c r="G171" t="s">
        <v>1367</v>
      </c>
      <c r="H171" t="s">
        <v>1374</v>
      </c>
      <c r="I171" t="s">
        <v>1369</v>
      </c>
      <c r="J171" t="s">
        <v>1370</v>
      </c>
      <c r="K171" t="s">
        <v>1369</v>
      </c>
      <c r="L171" t="s">
        <v>1369</v>
      </c>
      <c r="M171" t="s">
        <v>1369</v>
      </c>
      <c r="N171" t="s">
        <v>328</v>
      </c>
      <c r="O171"/>
      <c r="P171" t="s">
        <v>1661</v>
      </c>
    </row>
    <row r="172">
      <c r="A172" t="s">
        <v>1362</v>
      </c>
      <c r="B172" t="s">
        <v>1664</v>
      </c>
      <c r="C172" t="s">
        <v>1624</v>
      </c>
      <c r="D172" t="s">
        <v>339</v>
      </c>
      <c r="E172" t="s">
        <v>1363</v>
      </c>
      <c r="F172" t="s">
        <v>1366</v>
      </c>
      <c r="G172" t="s">
        <v>1367</v>
      </c>
      <c r="H172" t="s">
        <v>1374</v>
      </c>
      <c r="I172" t="s">
        <v>1369</v>
      </c>
      <c r="J172" t="s">
        <v>1370</v>
      </c>
      <c r="K172" t="s">
        <v>1369</v>
      </c>
      <c r="L172" t="s">
        <v>1369</v>
      </c>
      <c r="M172" t="s">
        <v>1369</v>
      </c>
      <c r="N172" t="s">
        <v>328</v>
      </c>
      <c r="O172"/>
      <c r="P172" t="s">
        <v>1665</v>
      </c>
    </row>
    <row r="173">
      <c r="A173" t="s">
        <v>1362</v>
      </c>
      <c r="B173" t="s">
        <v>1666</v>
      </c>
      <c r="C173" t="s">
        <v>1624</v>
      </c>
      <c r="D173" t="s">
        <v>359</v>
      </c>
      <c r="E173" t="s">
        <v>1363</v>
      </c>
      <c r="F173" t="s">
        <v>1366</v>
      </c>
      <c r="G173" t="s">
        <v>1367</v>
      </c>
      <c r="H173" t="s">
        <v>1374</v>
      </c>
      <c r="I173" t="s">
        <v>1369</v>
      </c>
      <c r="J173" t="s">
        <v>1370</v>
      </c>
      <c r="K173" t="s">
        <v>1369</v>
      </c>
      <c r="L173" t="s">
        <v>1369</v>
      </c>
      <c r="M173" t="s">
        <v>1369</v>
      </c>
      <c r="N173" t="s">
        <v>328</v>
      </c>
      <c r="O173"/>
      <c r="P173" t="s">
        <v>1665</v>
      </c>
    </row>
    <row r="174">
      <c r="A174" t="s">
        <v>1362</v>
      </c>
      <c r="B174" t="s">
        <v>1667</v>
      </c>
      <c r="C174" t="s">
        <v>1624</v>
      </c>
      <c r="D174" t="s">
        <v>375</v>
      </c>
      <c r="E174" t="s">
        <v>1363</v>
      </c>
      <c r="F174" t="s">
        <v>1366</v>
      </c>
      <c r="G174" t="s">
        <v>1367</v>
      </c>
      <c r="H174" t="s">
        <v>1374</v>
      </c>
      <c r="I174" t="s">
        <v>1369</v>
      </c>
      <c r="J174" t="s">
        <v>1370</v>
      </c>
      <c r="K174" t="s">
        <v>1369</v>
      </c>
      <c r="L174" t="s">
        <v>1369</v>
      </c>
      <c r="M174" t="s">
        <v>1369</v>
      </c>
      <c r="N174" t="s">
        <v>328</v>
      </c>
      <c r="O174"/>
      <c r="P174" t="s">
        <v>1665</v>
      </c>
    </row>
    <row r="175">
      <c r="A175" t="s">
        <v>1362</v>
      </c>
      <c r="B175" t="s">
        <v>1668</v>
      </c>
      <c r="C175" t="s">
        <v>1624</v>
      </c>
      <c r="D175" t="s">
        <v>339</v>
      </c>
      <c r="E175" t="s">
        <v>1363</v>
      </c>
      <c r="F175" t="s">
        <v>1366</v>
      </c>
      <c r="G175" t="s">
        <v>1367</v>
      </c>
      <c r="H175" t="s">
        <v>1374</v>
      </c>
      <c r="I175" t="s">
        <v>1369</v>
      </c>
      <c r="J175" t="s">
        <v>1370</v>
      </c>
      <c r="K175" t="s">
        <v>1369</v>
      </c>
      <c r="L175" t="s">
        <v>1369</v>
      </c>
      <c r="M175" t="s">
        <v>1369</v>
      </c>
      <c r="N175" t="s">
        <v>328</v>
      </c>
      <c r="O175"/>
      <c r="P175" t="s">
        <v>1669</v>
      </c>
    </row>
    <row r="176">
      <c r="A176" t="s">
        <v>1362</v>
      </c>
      <c r="B176" t="s">
        <v>1670</v>
      </c>
      <c r="C176" t="s">
        <v>1624</v>
      </c>
      <c r="D176" t="s">
        <v>359</v>
      </c>
      <c r="E176" t="s">
        <v>1363</v>
      </c>
      <c r="F176" t="s">
        <v>1366</v>
      </c>
      <c r="G176" t="s">
        <v>1367</v>
      </c>
      <c r="H176" t="s">
        <v>1374</v>
      </c>
      <c r="I176" t="s">
        <v>1369</v>
      </c>
      <c r="J176" t="s">
        <v>1370</v>
      </c>
      <c r="K176" t="s">
        <v>1369</v>
      </c>
      <c r="L176" t="s">
        <v>1369</v>
      </c>
      <c r="M176" t="s">
        <v>1369</v>
      </c>
      <c r="N176" t="s">
        <v>328</v>
      </c>
      <c r="O176"/>
      <c r="P176" t="s">
        <v>1669</v>
      </c>
    </row>
    <row r="177">
      <c r="A177" t="s">
        <v>1362</v>
      </c>
      <c r="B177" t="s">
        <v>1671</v>
      </c>
      <c r="C177" t="s">
        <v>1624</v>
      </c>
      <c r="D177" t="s">
        <v>375</v>
      </c>
      <c r="E177" t="s">
        <v>1363</v>
      </c>
      <c r="F177" t="s">
        <v>1366</v>
      </c>
      <c r="G177" t="s">
        <v>1367</v>
      </c>
      <c r="H177" t="s">
        <v>1374</v>
      </c>
      <c r="I177" t="s">
        <v>1369</v>
      </c>
      <c r="J177" t="s">
        <v>1370</v>
      </c>
      <c r="K177" t="s">
        <v>1369</v>
      </c>
      <c r="L177" t="s">
        <v>1369</v>
      </c>
      <c r="M177" t="s">
        <v>1369</v>
      </c>
      <c r="N177" t="s">
        <v>328</v>
      </c>
      <c r="O177"/>
      <c r="P177" t="s">
        <v>1669</v>
      </c>
    </row>
    <row r="178">
      <c r="A178" t="s">
        <v>1362</v>
      </c>
      <c r="B178" t="s">
        <v>1672</v>
      </c>
      <c r="C178" t="s">
        <v>1624</v>
      </c>
      <c r="D178" t="s">
        <v>359</v>
      </c>
      <c r="E178" t="s">
        <v>1363</v>
      </c>
      <c r="F178" t="s">
        <v>1366</v>
      </c>
      <c r="G178" t="s">
        <v>1367</v>
      </c>
      <c r="H178" t="s">
        <v>1374</v>
      </c>
      <c r="I178" t="s">
        <v>1369</v>
      </c>
      <c r="J178" t="s">
        <v>1370</v>
      </c>
      <c r="K178" t="s">
        <v>1369</v>
      </c>
      <c r="L178" t="s">
        <v>1369</v>
      </c>
      <c r="M178" t="s">
        <v>1369</v>
      </c>
      <c r="N178" t="s">
        <v>328</v>
      </c>
      <c r="O178"/>
      <c r="P178" t="s">
        <v>1673</v>
      </c>
    </row>
    <row r="179">
      <c r="A179" t="s">
        <v>1362</v>
      </c>
      <c r="B179" t="s">
        <v>1674</v>
      </c>
      <c r="C179" t="s">
        <v>1624</v>
      </c>
      <c r="D179" t="s">
        <v>375</v>
      </c>
      <c r="E179" t="s">
        <v>1363</v>
      </c>
      <c r="F179" t="s">
        <v>1366</v>
      </c>
      <c r="G179" t="s">
        <v>1367</v>
      </c>
      <c r="H179" t="s">
        <v>1374</v>
      </c>
      <c r="I179" t="s">
        <v>1369</v>
      </c>
      <c r="J179" t="s">
        <v>1370</v>
      </c>
      <c r="K179" t="s">
        <v>1369</v>
      </c>
      <c r="L179" t="s">
        <v>1369</v>
      </c>
      <c r="M179" t="s">
        <v>1369</v>
      </c>
      <c r="N179" t="s">
        <v>328</v>
      </c>
      <c r="O179"/>
      <c r="P179" t="s">
        <v>1673</v>
      </c>
    </row>
    <row r="180">
      <c r="A180" t="s">
        <v>1362</v>
      </c>
      <c r="B180" t="s">
        <v>1675</v>
      </c>
      <c r="C180" t="s">
        <v>1624</v>
      </c>
      <c r="D180" t="s">
        <v>399</v>
      </c>
      <c r="E180" t="s">
        <v>1363</v>
      </c>
      <c r="F180" t="s">
        <v>1366</v>
      </c>
      <c r="G180" t="s">
        <v>1367</v>
      </c>
      <c r="H180" t="s">
        <v>1374</v>
      </c>
      <c r="I180" t="s">
        <v>1369</v>
      </c>
      <c r="J180" t="s">
        <v>1370</v>
      </c>
      <c r="K180" t="s">
        <v>1369</v>
      </c>
      <c r="L180" t="s">
        <v>1369</v>
      </c>
      <c r="M180" t="s">
        <v>1369</v>
      </c>
      <c r="N180" t="s">
        <v>328</v>
      </c>
      <c r="O180"/>
      <c r="P180" t="s">
        <v>1673</v>
      </c>
    </row>
    <row r="181">
      <c r="A181" t="s">
        <v>1362</v>
      </c>
      <c r="B181" t="s">
        <v>1676</v>
      </c>
      <c r="C181" t="s">
        <v>1624</v>
      </c>
      <c r="D181" t="s">
        <v>327</v>
      </c>
      <c r="E181" t="s">
        <v>1363</v>
      </c>
      <c r="F181" t="s">
        <v>1366</v>
      </c>
      <c r="G181" t="s">
        <v>1367</v>
      </c>
      <c r="H181" t="s">
        <v>1374</v>
      </c>
      <c r="I181" t="s">
        <v>1369</v>
      </c>
      <c r="J181" t="s">
        <v>1370</v>
      </c>
      <c r="K181" t="s">
        <v>1369</v>
      </c>
      <c r="L181" t="s">
        <v>1369</v>
      </c>
      <c r="M181" t="s">
        <v>1369</v>
      </c>
      <c r="N181" t="s">
        <v>328</v>
      </c>
      <c r="O181"/>
      <c r="P181" t="s">
        <v>1677</v>
      </c>
    </row>
    <row r="182">
      <c r="A182" t="s">
        <v>1362</v>
      </c>
      <c r="B182" t="s">
        <v>1678</v>
      </c>
      <c r="C182" t="s">
        <v>1624</v>
      </c>
      <c r="D182" t="s">
        <v>359</v>
      </c>
      <c r="E182" t="s">
        <v>1363</v>
      </c>
      <c r="F182" t="s">
        <v>1366</v>
      </c>
      <c r="G182" t="s">
        <v>1367</v>
      </c>
      <c r="H182" t="s">
        <v>1374</v>
      </c>
      <c r="I182" t="s">
        <v>1369</v>
      </c>
      <c r="J182" t="s">
        <v>1370</v>
      </c>
      <c r="K182" t="s">
        <v>1369</v>
      </c>
      <c r="L182" t="s">
        <v>1369</v>
      </c>
      <c r="M182" t="s">
        <v>1369</v>
      </c>
      <c r="N182" t="s">
        <v>328</v>
      </c>
      <c r="O182"/>
      <c r="P182" t="s">
        <v>1677</v>
      </c>
    </row>
    <row r="183">
      <c r="A183" t="s">
        <v>1362</v>
      </c>
      <c r="B183" t="s">
        <v>1679</v>
      </c>
      <c r="C183" t="s">
        <v>1624</v>
      </c>
      <c r="D183" t="s">
        <v>375</v>
      </c>
      <c r="E183" t="s">
        <v>1363</v>
      </c>
      <c r="F183" t="s">
        <v>1366</v>
      </c>
      <c r="G183" t="s">
        <v>1367</v>
      </c>
      <c r="H183" t="s">
        <v>1374</v>
      </c>
      <c r="I183" t="s">
        <v>1369</v>
      </c>
      <c r="J183" t="s">
        <v>1370</v>
      </c>
      <c r="K183" t="s">
        <v>1369</v>
      </c>
      <c r="L183" t="s">
        <v>1369</v>
      </c>
      <c r="M183" t="s">
        <v>1369</v>
      </c>
      <c r="N183" t="s">
        <v>328</v>
      </c>
      <c r="O183"/>
      <c r="P183" t="s">
        <v>1677</v>
      </c>
    </row>
    <row r="184">
      <c r="A184" t="s">
        <v>1362</v>
      </c>
      <c r="B184" t="s">
        <v>1680</v>
      </c>
      <c r="C184" t="s">
        <v>1624</v>
      </c>
      <c r="D184" t="s">
        <v>359</v>
      </c>
      <c r="E184" t="s">
        <v>1363</v>
      </c>
      <c r="F184" t="s">
        <v>1366</v>
      </c>
      <c r="G184" t="s">
        <v>1367</v>
      </c>
      <c r="H184" t="s">
        <v>1374</v>
      </c>
      <c r="I184" t="s">
        <v>1369</v>
      </c>
      <c r="J184" t="s">
        <v>1370</v>
      </c>
      <c r="K184" t="s">
        <v>1369</v>
      </c>
      <c r="L184" t="s">
        <v>1369</v>
      </c>
      <c r="M184" t="s">
        <v>1369</v>
      </c>
      <c r="N184" t="s">
        <v>328</v>
      </c>
      <c r="O184"/>
      <c r="P184" t="s">
        <v>1681</v>
      </c>
    </row>
    <row r="185">
      <c r="A185" t="s">
        <v>1362</v>
      </c>
      <c r="B185" t="s">
        <v>1682</v>
      </c>
      <c r="C185" t="s">
        <v>1624</v>
      </c>
      <c r="D185" t="s">
        <v>362</v>
      </c>
      <c r="E185" t="s">
        <v>1363</v>
      </c>
      <c r="F185" t="s">
        <v>1366</v>
      </c>
      <c r="G185" t="s">
        <v>1367</v>
      </c>
      <c r="H185" t="s">
        <v>1374</v>
      </c>
      <c r="I185" t="s">
        <v>1369</v>
      </c>
      <c r="J185" t="s">
        <v>1370</v>
      </c>
      <c r="K185" t="s">
        <v>1369</v>
      </c>
      <c r="L185" t="s">
        <v>1369</v>
      </c>
      <c r="M185" t="s">
        <v>1369</v>
      </c>
      <c r="N185" t="s">
        <v>328</v>
      </c>
      <c r="O185"/>
      <c r="P185" t="s">
        <v>1681</v>
      </c>
    </row>
    <row r="186">
      <c r="A186" t="s">
        <v>1362</v>
      </c>
      <c r="B186" t="s">
        <v>1683</v>
      </c>
      <c r="C186" t="s">
        <v>1624</v>
      </c>
      <c r="D186" t="s">
        <v>375</v>
      </c>
      <c r="E186" t="s">
        <v>1363</v>
      </c>
      <c r="F186" t="s">
        <v>1366</v>
      </c>
      <c r="G186" t="s">
        <v>1367</v>
      </c>
      <c r="H186" t="s">
        <v>1374</v>
      </c>
      <c r="I186" t="s">
        <v>1369</v>
      </c>
      <c r="J186" t="s">
        <v>1370</v>
      </c>
      <c r="K186" t="s">
        <v>1369</v>
      </c>
      <c r="L186" t="s">
        <v>1369</v>
      </c>
      <c r="M186" t="s">
        <v>1369</v>
      </c>
      <c r="N186" t="s">
        <v>328</v>
      </c>
      <c r="O186"/>
      <c r="P186" t="s">
        <v>1681</v>
      </c>
    </row>
    <row r="187">
      <c r="A187" t="s">
        <v>1362</v>
      </c>
      <c r="B187" t="s">
        <v>1684</v>
      </c>
      <c r="C187" t="s">
        <v>1624</v>
      </c>
      <c r="D187" t="s">
        <v>397</v>
      </c>
      <c r="E187" t="s">
        <v>1363</v>
      </c>
      <c r="F187" t="s">
        <v>1366</v>
      </c>
      <c r="G187" t="s">
        <v>1367</v>
      </c>
      <c r="H187" t="s">
        <v>1374</v>
      </c>
      <c r="I187" t="s">
        <v>1369</v>
      </c>
      <c r="J187" t="s">
        <v>1370</v>
      </c>
      <c r="K187" t="s">
        <v>1369</v>
      </c>
      <c r="L187" t="s">
        <v>1369</v>
      </c>
      <c r="M187" t="s">
        <v>1369</v>
      </c>
      <c r="N187" t="s">
        <v>328</v>
      </c>
      <c r="O187"/>
      <c r="P187" t="s">
        <v>1681</v>
      </c>
    </row>
    <row r="188">
      <c r="A188" t="s">
        <v>1362</v>
      </c>
      <c r="B188" t="s">
        <v>1685</v>
      </c>
      <c r="C188" t="s">
        <v>1624</v>
      </c>
      <c r="D188" t="s">
        <v>359</v>
      </c>
      <c r="E188" t="s">
        <v>1363</v>
      </c>
      <c r="F188" t="s">
        <v>1366</v>
      </c>
      <c r="G188" t="s">
        <v>1367</v>
      </c>
      <c r="H188" t="s">
        <v>1374</v>
      </c>
      <c r="I188" t="s">
        <v>1369</v>
      </c>
      <c r="J188" t="s">
        <v>1370</v>
      </c>
      <c r="K188" t="s">
        <v>1369</v>
      </c>
      <c r="L188" t="s">
        <v>1369</v>
      </c>
      <c r="M188" t="s">
        <v>1369</v>
      </c>
      <c r="N188" t="s">
        <v>328</v>
      </c>
      <c r="O188"/>
      <c r="P188" t="s">
        <v>1686</v>
      </c>
    </row>
    <row r="189">
      <c r="A189" t="s">
        <v>1362</v>
      </c>
      <c r="B189" t="s">
        <v>1687</v>
      </c>
      <c r="C189" t="s">
        <v>1624</v>
      </c>
      <c r="D189" t="s">
        <v>375</v>
      </c>
      <c r="E189" t="s">
        <v>1363</v>
      </c>
      <c r="F189" t="s">
        <v>1366</v>
      </c>
      <c r="G189" t="s">
        <v>1367</v>
      </c>
      <c r="H189" t="s">
        <v>1374</v>
      </c>
      <c r="I189" t="s">
        <v>1369</v>
      </c>
      <c r="J189" t="s">
        <v>1370</v>
      </c>
      <c r="K189" t="s">
        <v>1369</v>
      </c>
      <c r="L189" t="s">
        <v>1369</v>
      </c>
      <c r="M189" t="s">
        <v>1369</v>
      </c>
      <c r="N189" t="s">
        <v>328</v>
      </c>
      <c r="O189"/>
      <c r="P189" t="s">
        <v>1686</v>
      </c>
    </row>
    <row r="190">
      <c r="A190" t="s">
        <v>1362</v>
      </c>
      <c r="B190" t="s">
        <v>1688</v>
      </c>
      <c r="C190" t="s">
        <v>1624</v>
      </c>
      <c r="D190" t="s">
        <v>397</v>
      </c>
      <c r="E190" t="s">
        <v>1363</v>
      </c>
      <c r="F190" t="s">
        <v>1366</v>
      </c>
      <c r="G190" t="s">
        <v>1367</v>
      </c>
      <c r="H190" t="s">
        <v>1374</v>
      </c>
      <c r="I190" t="s">
        <v>1369</v>
      </c>
      <c r="J190" t="s">
        <v>1370</v>
      </c>
      <c r="K190" t="s">
        <v>1369</v>
      </c>
      <c r="L190" t="s">
        <v>1369</v>
      </c>
      <c r="M190" t="s">
        <v>1369</v>
      </c>
      <c r="N190" t="s">
        <v>328</v>
      </c>
      <c r="O190"/>
      <c r="P190" t="s">
        <v>1686</v>
      </c>
    </row>
    <row r="191">
      <c r="A191" t="s">
        <v>1362</v>
      </c>
      <c r="B191" t="s">
        <v>1689</v>
      </c>
      <c r="C191" t="s">
        <v>1624</v>
      </c>
      <c r="D191" t="s">
        <v>375</v>
      </c>
      <c r="E191" t="s">
        <v>1363</v>
      </c>
      <c r="F191" t="s">
        <v>1366</v>
      </c>
      <c r="G191" t="s">
        <v>1367</v>
      </c>
      <c r="H191" t="s">
        <v>1374</v>
      </c>
      <c r="I191" t="s">
        <v>1369</v>
      </c>
      <c r="J191" t="s">
        <v>1370</v>
      </c>
      <c r="K191" t="s">
        <v>1369</v>
      </c>
      <c r="L191" t="s">
        <v>1369</v>
      </c>
      <c r="M191" t="s">
        <v>1369</v>
      </c>
      <c r="N191" t="s">
        <v>328</v>
      </c>
      <c r="O191"/>
      <c r="P191" t="s">
        <v>1690</v>
      </c>
    </row>
    <row r="192">
      <c r="A192" t="s">
        <v>1362</v>
      </c>
      <c r="B192" t="s">
        <v>1691</v>
      </c>
      <c r="C192" t="s">
        <v>1624</v>
      </c>
      <c r="D192" t="s">
        <v>397</v>
      </c>
      <c r="E192" t="s">
        <v>1363</v>
      </c>
      <c r="F192" t="s">
        <v>1366</v>
      </c>
      <c r="G192" t="s">
        <v>1367</v>
      </c>
      <c r="H192" t="s">
        <v>1374</v>
      </c>
      <c r="I192" t="s">
        <v>1369</v>
      </c>
      <c r="J192" t="s">
        <v>1370</v>
      </c>
      <c r="K192" t="s">
        <v>1369</v>
      </c>
      <c r="L192" t="s">
        <v>1369</v>
      </c>
      <c r="M192" t="s">
        <v>1369</v>
      </c>
      <c r="N192" t="s">
        <v>328</v>
      </c>
      <c r="O192"/>
      <c r="P192" t="s">
        <v>1690</v>
      </c>
    </row>
    <row r="193">
      <c r="A193" t="s">
        <v>1362</v>
      </c>
      <c r="B193" t="s">
        <v>1692</v>
      </c>
      <c r="C193" t="s">
        <v>1624</v>
      </c>
      <c r="D193" t="s">
        <v>327</v>
      </c>
      <c r="E193" t="s">
        <v>1363</v>
      </c>
      <c r="F193" t="s">
        <v>1366</v>
      </c>
      <c r="G193" t="s">
        <v>1367</v>
      </c>
      <c r="H193" t="s">
        <v>1374</v>
      </c>
      <c r="I193" t="s">
        <v>1369</v>
      </c>
      <c r="J193" t="s">
        <v>1370</v>
      </c>
      <c r="K193" t="s">
        <v>1369</v>
      </c>
      <c r="L193" t="s">
        <v>1369</v>
      </c>
      <c r="M193" t="s">
        <v>1369</v>
      </c>
      <c r="N193" t="s">
        <v>328</v>
      </c>
      <c r="O193"/>
      <c r="P193" t="s">
        <v>1693</v>
      </c>
    </row>
    <row r="194">
      <c r="A194" t="s">
        <v>1362</v>
      </c>
      <c r="B194" t="s">
        <v>1694</v>
      </c>
      <c r="C194" t="s">
        <v>1624</v>
      </c>
      <c r="D194" t="s">
        <v>359</v>
      </c>
      <c r="E194" t="s">
        <v>1363</v>
      </c>
      <c r="F194" t="s">
        <v>1366</v>
      </c>
      <c r="G194" t="s">
        <v>1367</v>
      </c>
      <c r="H194" t="s">
        <v>1374</v>
      </c>
      <c r="I194" t="s">
        <v>1369</v>
      </c>
      <c r="J194" t="s">
        <v>1370</v>
      </c>
      <c r="K194" t="s">
        <v>1369</v>
      </c>
      <c r="L194" t="s">
        <v>1369</v>
      </c>
      <c r="M194" t="s">
        <v>1369</v>
      </c>
      <c r="N194" t="s">
        <v>328</v>
      </c>
      <c r="O194"/>
      <c r="P194" t="s">
        <v>1693</v>
      </c>
    </row>
    <row r="195">
      <c r="A195" t="s">
        <v>1362</v>
      </c>
      <c r="B195" t="s">
        <v>1695</v>
      </c>
      <c r="C195" t="s">
        <v>1624</v>
      </c>
      <c r="D195" t="s">
        <v>375</v>
      </c>
      <c r="E195" t="s">
        <v>1363</v>
      </c>
      <c r="F195" t="s">
        <v>1366</v>
      </c>
      <c r="G195" t="s">
        <v>1367</v>
      </c>
      <c r="H195" t="s">
        <v>1374</v>
      </c>
      <c r="I195" t="s">
        <v>1369</v>
      </c>
      <c r="J195" t="s">
        <v>1370</v>
      </c>
      <c r="K195" t="s">
        <v>1369</v>
      </c>
      <c r="L195" t="s">
        <v>1369</v>
      </c>
      <c r="M195" t="s">
        <v>1369</v>
      </c>
      <c r="N195" t="s">
        <v>328</v>
      </c>
      <c r="O195"/>
      <c r="P195" t="s">
        <v>1693</v>
      </c>
    </row>
    <row r="196">
      <c r="A196" t="s">
        <v>1362</v>
      </c>
      <c r="B196" t="s">
        <v>1696</v>
      </c>
      <c r="C196" t="s">
        <v>1624</v>
      </c>
      <c r="D196" t="s">
        <v>395</v>
      </c>
      <c r="E196" t="s">
        <v>1363</v>
      </c>
      <c r="F196" t="s">
        <v>1366</v>
      </c>
      <c r="G196" t="s">
        <v>1367</v>
      </c>
      <c r="H196" t="s">
        <v>1374</v>
      </c>
      <c r="I196" t="s">
        <v>1369</v>
      </c>
      <c r="J196" t="s">
        <v>1370</v>
      </c>
      <c r="K196" t="s">
        <v>1369</v>
      </c>
      <c r="L196" t="s">
        <v>1369</v>
      </c>
      <c r="M196" t="s">
        <v>1369</v>
      </c>
      <c r="N196" t="s">
        <v>328</v>
      </c>
      <c r="O196"/>
      <c r="P196" t="s">
        <v>1693</v>
      </c>
    </row>
    <row r="197">
      <c r="A197" t="s">
        <v>1362</v>
      </c>
      <c r="B197" t="s">
        <v>1697</v>
      </c>
      <c r="C197" t="s">
        <v>1624</v>
      </c>
      <c r="D197" t="s">
        <v>404</v>
      </c>
      <c r="E197" t="s">
        <v>1363</v>
      </c>
      <c r="F197" t="s">
        <v>1366</v>
      </c>
      <c r="G197" t="s">
        <v>1367</v>
      </c>
      <c r="H197" t="s">
        <v>1374</v>
      </c>
      <c r="I197" t="s">
        <v>1369</v>
      </c>
      <c r="J197" t="s">
        <v>1370</v>
      </c>
      <c r="K197" t="s">
        <v>1369</v>
      </c>
      <c r="L197" t="s">
        <v>1369</v>
      </c>
      <c r="M197" t="s">
        <v>1369</v>
      </c>
      <c r="N197" t="s">
        <v>328</v>
      </c>
      <c r="O197"/>
      <c r="P197" t="s">
        <v>1693</v>
      </c>
    </row>
    <row r="198">
      <c r="A198" t="s">
        <v>1362</v>
      </c>
      <c r="B198" t="s">
        <v>1698</v>
      </c>
      <c r="C198" t="s">
        <v>1624</v>
      </c>
      <c r="D198" t="s">
        <v>363</v>
      </c>
      <c r="E198" t="s">
        <v>1363</v>
      </c>
      <c r="F198" t="s">
        <v>1366</v>
      </c>
      <c r="G198" t="s">
        <v>1367</v>
      </c>
      <c r="H198" t="s">
        <v>1374</v>
      </c>
      <c r="I198" t="s">
        <v>1369</v>
      </c>
      <c r="J198" t="s">
        <v>225</v>
      </c>
      <c r="K198" t="s">
        <v>1369</v>
      </c>
      <c r="L198" t="s">
        <v>1369</v>
      </c>
      <c r="M198" t="s">
        <v>1369</v>
      </c>
      <c r="N198" t="s">
        <v>328</v>
      </c>
      <c r="O198"/>
      <c r="P198" t="s">
        <v>1699</v>
      </c>
    </row>
    <row r="199">
      <c r="A199" t="s">
        <v>1362</v>
      </c>
      <c r="B199" t="s">
        <v>1700</v>
      </c>
      <c r="C199" t="s">
        <v>1624</v>
      </c>
      <c r="D199" t="s">
        <v>357</v>
      </c>
      <c r="E199" t="s">
        <v>1363</v>
      </c>
      <c r="F199" t="s">
        <v>1366</v>
      </c>
      <c r="G199" t="s">
        <v>1367</v>
      </c>
      <c r="H199" t="s">
        <v>1377</v>
      </c>
      <c r="I199" t="s">
        <v>1381</v>
      </c>
      <c r="J199" t="s">
        <v>1370</v>
      </c>
      <c r="K199" t="s">
        <v>1381</v>
      </c>
      <c r="L199" t="s">
        <v>1381</v>
      </c>
      <c r="M199" t="s">
        <v>1369</v>
      </c>
      <c r="N199" t="s">
        <v>328</v>
      </c>
      <c r="O199"/>
      <c r="P199" t="s">
        <v>1633</v>
      </c>
    </row>
    <row r="200">
      <c r="A200" t="s">
        <v>1362</v>
      </c>
      <c r="B200" t="s">
        <v>1701</v>
      </c>
      <c r="C200" t="s">
        <v>1624</v>
      </c>
      <c r="D200" t="s">
        <v>339</v>
      </c>
      <c r="E200" t="s">
        <v>1363</v>
      </c>
      <c r="F200" t="s">
        <v>1366</v>
      </c>
      <c r="G200" t="s">
        <v>1367</v>
      </c>
      <c r="H200" t="s">
        <v>1377</v>
      </c>
      <c r="I200" t="s">
        <v>1381</v>
      </c>
      <c r="J200" t="s">
        <v>1370</v>
      </c>
      <c r="K200" t="s">
        <v>1381</v>
      </c>
      <c r="L200" t="s">
        <v>1381</v>
      </c>
      <c r="M200" t="s">
        <v>1369</v>
      </c>
      <c r="N200" t="s">
        <v>328</v>
      </c>
      <c r="O200"/>
      <c r="P200" t="s">
        <v>1633</v>
      </c>
    </row>
    <row r="201">
      <c r="A201" t="s">
        <v>1362</v>
      </c>
      <c r="B201" t="s">
        <v>1702</v>
      </c>
      <c r="C201" t="s">
        <v>1624</v>
      </c>
      <c r="D201" t="s">
        <v>397</v>
      </c>
      <c r="E201" t="s">
        <v>1363</v>
      </c>
      <c r="F201" t="s">
        <v>1366</v>
      </c>
      <c r="G201" t="s">
        <v>1367</v>
      </c>
      <c r="H201" t="s">
        <v>1374</v>
      </c>
      <c r="I201" t="s">
        <v>1369</v>
      </c>
      <c r="J201" t="s">
        <v>1370</v>
      </c>
      <c r="K201" t="s">
        <v>1369</v>
      </c>
      <c r="L201" t="s">
        <v>1381</v>
      </c>
      <c r="M201" t="s">
        <v>1369</v>
      </c>
      <c r="N201" t="s">
        <v>328</v>
      </c>
      <c r="O201"/>
      <c r="P201" t="s">
        <v>1703</v>
      </c>
    </row>
    <row r="202">
      <c r="A202" t="s">
        <v>1362</v>
      </c>
      <c r="B202" t="s">
        <v>1704</v>
      </c>
      <c r="C202" t="s">
        <v>1624</v>
      </c>
      <c r="D202" t="s">
        <v>397</v>
      </c>
      <c r="E202" t="s">
        <v>1363</v>
      </c>
      <c r="F202" t="s">
        <v>1366</v>
      </c>
      <c r="G202" t="s">
        <v>1367</v>
      </c>
      <c r="H202" t="s">
        <v>1374</v>
      </c>
      <c r="I202" t="s">
        <v>1369</v>
      </c>
      <c r="J202" t="s">
        <v>1370</v>
      </c>
      <c r="K202" t="s">
        <v>1369</v>
      </c>
      <c r="L202" t="s">
        <v>1381</v>
      </c>
      <c r="M202" t="s">
        <v>1369</v>
      </c>
      <c r="N202" t="s">
        <v>328</v>
      </c>
      <c r="O202"/>
      <c r="P202" t="s">
        <v>1705</v>
      </c>
    </row>
    <row r="203">
      <c r="A203" t="s">
        <v>1362</v>
      </c>
      <c r="B203" t="s">
        <v>1706</v>
      </c>
      <c r="C203" t="s">
        <v>1624</v>
      </c>
      <c r="D203" t="s">
        <v>397</v>
      </c>
      <c r="E203" t="s">
        <v>1363</v>
      </c>
      <c r="F203" t="s">
        <v>1366</v>
      </c>
      <c r="G203" t="s">
        <v>1367</v>
      </c>
      <c r="H203" t="s">
        <v>1374</v>
      </c>
      <c r="I203" t="s">
        <v>1369</v>
      </c>
      <c r="J203" t="s">
        <v>1370</v>
      </c>
      <c r="K203" t="s">
        <v>1369</v>
      </c>
      <c r="L203" t="s">
        <v>1381</v>
      </c>
      <c r="M203" t="s">
        <v>1369</v>
      </c>
      <c r="N203" t="s">
        <v>328</v>
      </c>
      <c r="O203"/>
      <c r="P203" t="s">
        <v>1707</v>
      </c>
    </row>
    <row r="204">
      <c r="A204" t="s">
        <v>1362</v>
      </c>
      <c r="B204" t="s">
        <v>1708</v>
      </c>
      <c r="C204" t="s">
        <v>1624</v>
      </c>
      <c r="D204" t="s">
        <v>397</v>
      </c>
      <c r="E204" t="s">
        <v>1363</v>
      </c>
      <c r="F204" t="s">
        <v>1366</v>
      </c>
      <c r="G204" t="s">
        <v>1367</v>
      </c>
      <c r="H204" t="s">
        <v>1374</v>
      </c>
      <c r="I204" t="s">
        <v>1369</v>
      </c>
      <c r="J204" t="s">
        <v>1370</v>
      </c>
      <c r="K204" t="s">
        <v>1369</v>
      </c>
      <c r="L204" t="s">
        <v>1381</v>
      </c>
      <c r="M204" t="s">
        <v>1369</v>
      </c>
      <c r="N204" t="s">
        <v>328</v>
      </c>
      <c r="O204"/>
      <c r="P204" t="s">
        <v>1709</v>
      </c>
    </row>
    <row r="205">
      <c r="A205" t="s">
        <v>1362</v>
      </c>
      <c r="B205" t="s">
        <v>1710</v>
      </c>
      <c r="C205" t="s">
        <v>1624</v>
      </c>
      <c r="D205" t="s">
        <v>397</v>
      </c>
      <c r="E205" t="s">
        <v>1363</v>
      </c>
      <c r="F205" t="s">
        <v>1366</v>
      </c>
      <c r="G205" t="s">
        <v>1367</v>
      </c>
      <c r="H205" t="s">
        <v>1374</v>
      </c>
      <c r="I205" t="s">
        <v>1369</v>
      </c>
      <c r="J205" t="s">
        <v>1370</v>
      </c>
      <c r="K205" t="s">
        <v>1369</v>
      </c>
      <c r="L205" t="s">
        <v>1381</v>
      </c>
      <c r="M205" t="s">
        <v>1369</v>
      </c>
      <c r="N205" t="s">
        <v>328</v>
      </c>
      <c r="O205"/>
      <c r="P205" t="s">
        <v>1711</v>
      </c>
    </row>
    <row r="206">
      <c r="A206" t="s">
        <v>1362</v>
      </c>
      <c r="B206" t="s">
        <v>1712</v>
      </c>
      <c r="C206" t="s">
        <v>1624</v>
      </c>
      <c r="D206" t="s">
        <v>399</v>
      </c>
      <c r="E206" t="s">
        <v>1363</v>
      </c>
      <c r="F206" t="s">
        <v>1366</v>
      </c>
      <c r="G206" t="s">
        <v>1367</v>
      </c>
      <c r="H206" t="s">
        <v>1374</v>
      </c>
      <c r="I206" t="s">
        <v>1369</v>
      </c>
      <c r="J206" t="s">
        <v>1370</v>
      </c>
      <c r="K206" t="s">
        <v>1369</v>
      </c>
      <c r="L206" t="s">
        <v>1381</v>
      </c>
      <c r="M206" t="s">
        <v>1369</v>
      </c>
      <c r="N206" t="s">
        <v>328</v>
      </c>
      <c r="O206"/>
      <c r="P206" t="s">
        <v>1713</v>
      </c>
    </row>
    <row r="207">
      <c r="A207" t="s">
        <v>1362</v>
      </c>
      <c r="B207" t="s">
        <v>1714</v>
      </c>
      <c r="C207" t="s">
        <v>1624</v>
      </c>
      <c r="D207" t="s">
        <v>327</v>
      </c>
      <c r="E207" t="s">
        <v>1363</v>
      </c>
      <c r="F207" t="s">
        <v>1366</v>
      </c>
      <c r="G207" t="s">
        <v>1367</v>
      </c>
      <c r="H207" t="s">
        <v>1374</v>
      </c>
      <c r="I207" t="s">
        <v>1369</v>
      </c>
      <c r="J207" t="s">
        <v>1370</v>
      </c>
      <c r="K207" t="s">
        <v>1369</v>
      </c>
      <c r="L207" t="s">
        <v>1381</v>
      </c>
      <c r="M207" t="s">
        <v>1369</v>
      </c>
      <c r="N207" t="s">
        <v>328</v>
      </c>
      <c r="O207"/>
      <c r="P207" t="s">
        <v>1715</v>
      </c>
    </row>
    <row r="208">
      <c r="A208" t="s">
        <v>1362</v>
      </c>
      <c r="B208" t="s">
        <v>1716</v>
      </c>
      <c r="C208" t="s">
        <v>1624</v>
      </c>
      <c r="D208" t="s">
        <v>359</v>
      </c>
      <c r="E208" t="s">
        <v>1363</v>
      </c>
      <c r="F208" t="s">
        <v>1366</v>
      </c>
      <c r="G208" t="s">
        <v>1367</v>
      </c>
      <c r="H208" t="s">
        <v>1377</v>
      </c>
      <c r="I208" t="s">
        <v>1369</v>
      </c>
      <c r="J208" t="s">
        <v>177</v>
      </c>
      <c r="K208" t="s">
        <v>1381</v>
      </c>
      <c r="L208" t="s">
        <v>1369</v>
      </c>
      <c r="M208" t="s">
        <v>1369</v>
      </c>
      <c r="N208" t="s">
        <v>328</v>
      </c>
      <c r="O208"/>
      <c r="P208" t="s">
        <v>1717</v>
      </c>
    </row>
    <row r="209">
      <c r="A209" t="s">
        <v>1362</v>
      </c>
      <c r="B209" t="s">
        <v>1718</v>
      </c>
      <c r="C209" t="s">
        <v>1624</v>
      </c>
      <c r="D209" t="s">
        <v>363</v>
      </c>
      <c r="E209" t="s">
        <v>1363</v>
      </c>
      <c r="F209" t="s">
        <v>1366</v>
      </c>
      <c r="G209" t="s">
        <v>1367</v>
      </c>
      <c r="H209" t="s">
        <v>1377</v>
      </c>
      <c r="I209" t="s">
        <v>1369</v>
      </c>
      <c r="J209" t="s">
        <v>177</v>
      </c>
      <c r="K209" t="s">
        <v>1381</v>
      </c>
      <c r="L209" t="s">
        <v>1369</v>
      </c>
      <c r="M209" t="s">
        <v>1369</v>
      </c>
      <c r="N209" t="s">
        <v>328</v>
      </c>
      <c r="O209"/>
      <c r="P209" t="s">
        <v>1719</v>
      </c>
    </row>
    <row r="210">
      <c r="A210" t="s">
        <v>1362</v>
      </c>
      <c r="B210" t="s">
        <v>1720</v>
      </c>
      <c r="C210" t="s">
        <v>1624</v>
      </c>
      <c r="D210" t="s">
        <v>359</v>
      </c>
      <c r="E210" t="s">
        <v>1363</v>
      </c>
      <c r="F210" t="s">
        <v>1366</v>
      </c>
      <c r="G210" t="s">
        <v>1367</v>
      </c>
      <c r="H210" t="s">
        <v>1377</v>
      </c>
      <c r="I210" t="s">
        <v>1369</v>
      </c>
      <c r="J210" t="s">
        <v>177</v>
      </c>
      <c r="K210" t="s">
        <v>1381</v>
      </c>
      <c r="L210" t="s">
        <v>1369</v>
      </c>
      <c r="M210" t="s">
        <v>1369</v>
      </c>
      <c r="N210" t="s">
        <v>328</v>
      </c>
      <c r="O210"/>
      <c r="P210" t="s">
        <v>1721</v>
      </c>
    </row>
    <row r="211">
      <c r="A211" t="s">
        <v>1362</v>
      </c>
      <c r="B211" t="s">
        <v>1722</v>
      </c>
      <c r="C211" t="s">
        <v>1624</v>
      </c>
      <c r="D211" t="s">
        <v>363</v>
      </c>
      <c r="E211" t="s">
        <v>1363</v>
      </c>
      <c r="F211" t="s">
        <v>1366</v>
      </c>
      <c r="G211" t="s">
        <v>1367</v>
      </c>
      <c r="H211" t="s">
        <v>1377</v>
      </c>
      <c r="I211" t="s">
        <v>1369</v>
      </c>
      <c r="J211" t="s">
        <v>177</v>
      </c>
      <c r="K211" t="s">
        <v>1381</v>
      </c>
      <c r="L211" t="s">
        <v>1369</v>
      </c>
      <c r="M211" t="s">
        <v>1369</v>
      </c>
      <c r="N211" t="s">
        <v>328</v>
      </c>
      <c r="O211"/>
      <c r="P211" t="s">
        <v>1723</v>
      </c>
    </row>
    <row r="212">
      <c r="A212" t="s">
        <v>1362</v>
      </c>
      <c r="B212" t="s">
        <v>1724</v>
      </c>
      <c r="C212" t="s">
        <v>1624</v>
      </c>
      <c r="D212" t="s">
        <v>359</v>
      </c>
      <c r="E212" t="s">
        <v>1363</v>
      </c>
      <c r="F212" t="s">
        <v>1366</v>
      </c>
      <c r="G212" t="s">
        <v>1367</v>
      </c>
      <c r="H212" t="s">
        <v>1377</v>
      </c>
      <c r="I212" t="s">
        <v>1369</v>
      </c>
      <c r="J212" t="s">
        <v>177</v>
      </c>
      <c r="K212" t="s">
        <v>1381</v>
      </c>
      <c r="L212" t="s">
        <v>1369</v>
      </c>
      <c r="M212" t="s">
        <v>1369</v>
      </c>
      <c r="N212" t="s">
        <v>328</v>
      </c>
      <c r="O212"/>
      <c r="P212" t="s">
        <v>1725</v>
      </c>
    </row>
    <row r="213">
      <c r="A213" t="s">
        <v>1362</v>
      </c>
      <c r="B213" t="s">
        <v>1726</v>
      </c>
      <c r="C213" t="s">
        <v>1624</v>
      </c>
      <c r="D213" t="s">
        <v>359</v>
      </c>
      <c r="E213" t="s">
        <v>1363</v>
      </c>
      <c r="F213" t="s">
        <v>1366</v>
      </c>
      <c r="G213" t="s">
        <v>1367</v>
      </c>
      <c r="H213" t="s">
        <v>1377</v>
      </c>
      <c r="I213" t="s">
        <v>1369</v>
      </c>
      <c r="J213" t="s">
        <v>177</v>
      </c>
      <c r="K213" t="s">
        <v>1381</v>
      </c>
      <c r="L213" t="s">
        <v>1369</v>
      </c>
      <c r="M213" t="s">
        <v>1369</v>
      </c>
      <c r="N213" t="s">
        <v>328</v>
      </c>
      <c r="O213"/>
      <c r="P213" t="s">
        <v>1727</v>
      </c>
    </row>
    <row r="214">
      <c r="A214" t="s">
        <v>1362</v>
      </c>
      <c r="B214" t="s">
        <v>1728</v>
      </c>
      <c r="C214" t="s">
        <v>1624</v>
      </c>
      <c r="D214" t="s">
        <v>359</v>
      </c>
      <c r="E214" t="s">
        <v>1363</v>
      </c>
      <c r="F214" t="s">
        <v>1366</v>
      </c>
      <c r="G214" t="s">
        <v>1367</v>
      </c>
      <c r="H214" t="s">
        <v>1377</v>
      </c>
      <c r="I214" t="s">
        <v>1369</v>
      </c>
      <c r="J214" t="s">
        <v>177</v>
      </c>
      <c r="K214" t="s">
        <v>1381</v>
      </c>
      <c r="L214" t="s">
        <v>1369</v>
      </c>
      <c r="M214" t="s">
        <v>1369</v>
      </c>
      <c r="N214" t="s">
        <v>328</v>
      </c>
      <c r="O214"/>
      <c r="P214" t="s">
        <v>1729</v>
      </c>
    </row>
    <row r="215">
      <c r="A215" t="s">
        <v>1362</v>
      </c>
      <c r="B215" t="s">
        <v>1730</v>
      </c>
      <c r="C215" t="s">
        <v>1624</v>
      </c>
      <c r="D215" t="s">
        <v>359</v>
      </c>
      <c r="E215" t="s">
        <v>1363</v>
      </c>
      <c r="F215" t="s">
        <v>1366</v>
      </c>
      <c r="G215" t="s">
        <v>1367</v>
      </c>
      <c r="H215" t="s">
        <v>1377</v>
      </c>
      <c r="I215" t="s">
        <v>1369</v>
      </c>
      <c r="J215" t="s">
        <v>177</v>
      </c>
      <c r="K215" t="s">
        <v>1381</v>
      </c>
      <c r="L215" t="s">
        <v>1369</v>
      </c>
      <c r="M215" t="s">
        <v>1369</v>
      </c>
      <c r="N215" t="s">
        <v>328</v>
      </c>
      <c r="O215"/>
      <c r="P215" t="s">
        <v>1731</v>
      </c>
    </row>
    <row r="216">
      <c r="A216" t="s">
        <v>1362</v>
      </c>
      <c r="B216" t="s">
        <v>1732</v>
      </c>
      <c r="C216" t="s">
        <v>1624</v>
      </c>
      <c r="D216" t="s">
        <v>359</v>
      </c>
      <c r="E216" t="s">
        <v>1363</v>
      </c>
      <c r="F216" t="s">
        <v>1366</v>
      </c>
      <c r="G216" t="s">
        <v>1367</v>
      </c>
      <c r="H216" t="s">
        <v>1377</v>
      </c>
      <c r="I216" t="s">
        <v>1369</v>
      </c>
      <c r="J216" t="s">
        <v>177</v>
      </c>
      <c r="K216" t="s">
        <v>1381</v>
      </c>
      <c r="L216" t="s">
        <v>1369</v>
      </c>
      <c r="M216" t="s">
        <v>1369</v>
      </c>
      <c r="N216" t="s">
        <v>328</v>
      </c>
      <c r="O216"/>
      <c r="P216" t="s">
        <v>1733</v>
      </c>
    </row>
    <row r="217">
      <c r="A217" t="s">
        <v>1362</v>
      </c>
      <c r="B217" t="s">
        <v>1734</v>
      </c>
      <c r="C217" t="s">
        <v>1624</v>
      </c>
      <c r="D217" t="s">
        <v>365</v>
      </c>
      <c r="E217" t="s">
        <v>1363</v>
      </c>
      <c r="F217" t="s">
        <v>1366</v>
      </c>
      <c r="G217" t="s">
        <v>1367</v>
      </c>
      <c r="H217" t="s">
        <v>1374</v>
      </c>
      <c r="I217" t="s">
        <v>1369</v>
      </c>
      <c r="J217" t="s">
        <v>1370</v>
      </c>
      <c r="K217" t="s">
        <v>1369</v>
      </c>
      <c r="L217" t="s">
        <v>1369</v>
      </c>
      <c r="M217" t="s">
        <v>1369</v>
      </c>
      <c r="N217" t="s">
        <v>366</v>
      </c>
      <c r="O217"/>
      <c r="P217" t="s">
        <v>1735</v>
      </c>
    </row>
    <row r="218">
      <c r="A218" t="s">
        <v>1362</v>
      </c>
      <c r="B218" t="s">
        <v>1736</v>
      </c>
      <c r="C218" t="s">
        <v>1624</v>
      </c>
      <c r="D218" t="s">
        <v>381</v>
      </c>
      <c r="E218" t="s">
        <v>1363</v>
      </c>
      <c r="F218" t="s">
        <v>1366</v>
      </c>
      <c r="G218" t="s">
        <v>1367</v>
      </c>
      <c r="H218" t="s">
        <v>1374</v>
      </c>
      <c r="I218" t="s">
        <v>1369</v>
      </c>
      <c r="J218" t="s">
        <v>1370</v>
      </c>
      <c r="K218" t="s">
        <v>1369</v>
      </c>
      <c r="L218" t="s">
        <v>1369</v>
      </c>
      <c r="M218" t="s">
        <v>1369</v>
      </c>
      <c r="N218" t="s">
        <v>366</v>
      </c>
      <c r="O218"/>
      <c r="P218" t="s">
        <v>1735</v>
      </c>
    </row>
    <row r="219">
      <c r="A219" t="s">
        <v>1362</v>
      </c>
      <c r="B219" t="s">
        <v>1737</v>
      </c>
      <c r="C219" t="s">
        <v>1624</v>
      </c>
      <c r="D219" t="s">
        <v>386</v>
      </c>
      <c r="E219" t="s">
        <v>1363</v>
      </c>
      <c r="F219" t="s">
        <v>1366</v>
      </c>
      <c r="G219" t="s">
        <v>1367</v>
      </c>
      <c r="H219" t="s">
        <v>1374</v>
      </c>
      <c r="I219" t="s">
        <v>1369</v>
      </c>
      <c r="J219" t="s">
        <v>1370</v>
      </c>
      <c r="K219" t="s">
        <v>1369</v>
      </c>
      <c r="L219" t="s">
        <v>1369</v>
      </c>
      <c r="M219" t="s">
        <v>1369</v>
      </c>
      <c r="N219" t="s">
        <v>366</v>
      </c>
      <c r="O219"/>
      <c r="P219" t="s">
        <v>1735</v>
      </c>
    </row>
    <row r="220">
      <c r="A220" t="s">
        <v>1362</v>
      </c>
      <c r="B220" t="s">
        <v>1738</v>
      </c>
      <c r="C220" t="s">
        <v>1624</v>
      </c>
      <c r="D220" t="s">
        <v>364</v>
      </c>
      <c r="E220" t="s">
        <v>1363</v>
      </c>
      <c r="F220" t="s">
        <v>1366</v>
      </c>
      <c r="G220" t="s">
        <v>1367</v>
      </c>
      <c r="H220" t="s">
        <v>1374</v>
      </c>
      <c r="I220" t="s">
        <v>1369</v>
      </c>
      <c r="J220" t="s">
        <v>1370</v>
      </c>
      <c r="K220" t="s">
        <v>1369</v>
      </c>
      <c r="L220" t="s">
        <v>1369</v>
      </c>
      <c r="M220" t="s">
        <v>1369</v>
      </c>
      <c r="N220" t="s">
        <v>334</v>
      </c>
      <c r="O220"/>
      <c r="P220" t="s">
        <v>1739</v>
      </c>
    </row>
    <row r="221">
      <c r="A221" t="s">
        <v>1362</v>
      </c>
      <c r="B221" t="s">
        <v>1740</v>
      </c>
      <c r="C221" t="s">
        <v>1624</v>
      </c>
      <c r="D221" t="s">
        <v>380</v>
      </c>
      <c r="E221" t="s">
        <v>1363</v>
      </c>
      <c r="F221" t="s">
        <v>1366</v>
      </c>
      <c r="G221" t="s">
        <v>1367</v>
      </c>
      <c r="H221" t="s">
        <v>1374</v>
      </c>
      <c r="I221" t="s">
        <v>1369</v>
      </c>
      <c r="J221" t="s">
        <v>1370</v>
      </c>
      <c r="K221" t="s">
        <v>1369</v>
      </c>
      <c r="L221" t="s">
        <v>1369</v>
      </c>
      <c r="M221" t="s">
        <v>1369</v>
      </c>
      <c r="N221" t="s">
        <v>334</v>
      </c>
      <c r="O221"/>
      <c r="P221" t="s">
        <v>1739</v>
      </c>
    </row>
    <row r="222">
      <c r="A222" t="s">
        <v>1362</v>
      </c>
      <c r="B222" t="s">
        <v>1741</v>
      </c>
      <c r="C222" t="s">
        <v>1624</v>
      </c>
      <c r="D222" t="s">
        <v>384</v>
      </c>
      <c r="E222" t="s">
        <v>1363</v>
      </c>
      <c r="F222" t="s">
        <v>1366</v>
      </c>
      <c r="G222" t="s">
        <v>1367</v>
      </c>
      <c r="H222" t="s">
        <v>1374</v>
      </c>
      <c r="I222" t="s">
        <v>1369</v>
      </c>
      <c r="J222" t="s">
        <v>1370</v>
      </c>
      <c r="K222" t="s">
        <v>1369</v>
      </c>
      <c r="L222" t="s">
        <v>1369</v>
      </c>
      <c r="M222" t="s">
        <v>1369</v>
      </c>
      <c r="N222" t="s">
        <v>334</v>
      </c>
      <c r="O222"/>
      <c r="P222" t="s">
        <v>1739</v>
      </c>
    </row>
    <row r="223">
      <c r="A223" t="s">
        <v>1362</v>
      </c>
      <c r="B223" t="s">
        <v>1742</v>
      </c>
      <c r="C223" t="s">
        <v>1624</v>
      </c>
      <c r="D223" t="s">
        <v>364</v>
      </c>
      <c r="E223" t="s">
        <v>1363</v>
      </c>
      <c r="F223" t="s">
        <v>1366</v>
      </c>
      <c r="G223" t="s">
        <v>1367</v>
      </c>
      <c r="H223" t="s">
        <v>1374</v>
      </c>
      <c r="I223" t="s">
        <v>1369</v>
      </c>
      <c r="J223" t="s">
        <v>1370</v>
      </c>
      <c r="K223" t="s">
        <v>1369</v>
      </c>
      <c r="L223" t="s">
        <v>1369</v>
      </c>
      <c r="M223" t="s">
        <v>1369</v>
      </c>
      <c r="N223" t="s">
        <v>334</v>
      </c>
      <c r="O223"/>
      <c r="P223" t="s">
        <v>1743</v>
      </c>
    </row>
    <row r="224">
      <c r="A224" t="s">
        <v>1362</v>
      </c>
      <c r="B224" t="s">
        <v>1744</v>
      </c>
      <c r="C224" t="s">
        <v>1624</v>
      </c>
      <c r="D224" t="s">
        <v>374</v>
      </c>
      <c r="E224" t="s">
        <v>1363</v>
      </c>
      <c r="F224" t="s">
        <v>1366</v>
      </c>
      <c r="G224" t="s">
        <v>1367</v>
      </c>
      <c r="H224" t="s">
        <v>1374</v>
      </c>
      <c r="I224" t="s">
        <v>1369</v>
      </c>
      <c r="J224" t="s">
        <v>1370</v>
      </c>
      <c r="K224" t="s">
        <v>1369</v>
      </c>
      <c r="L224" t="s">
        <v>1369</v>
      </c>
      <c r="M224" t="s">
        <v>1369</v>
      </c>
      <c r="N224" t="s">
        <v>334</v>
      </c>
      <c r="O224"/>
      <c r="P224" t="s">
        <v>1743</v>
      </c>
    </row>
    <row r="225">
      <c r="A225" t="s">
        <v>1362</v>
      </c>
      <c r="B225" t="s">
        <v>1745</v>
      </c>
      <c r="C225" t="s">
        <v>1624</v>
      </c>
      <c r="D225" t="s">
        <v>380</v>
      </c>
      <c r="E225" t="s">
        <v>1363</v>
      </c>
      <c r="F225" t="s">
        <v>1366</v>
      </c>
      <c r="G225" t="s">
        <v>1367</v>
      </c>
      <c r="H225" t="s">
        <v>1374</v>
      </c>
      <c r="I225" t="s">
        <v>1369</v>
      </c>
      <c r="J225" t="s">
        <v>1370</v>
      </c>
      <c r="K225" t="s">
        <v>1369</v>
      </c>
      <c r="L225" t="s">
        <v>1369</v>
      </c>
      <c r="M225" t="s">
        <v>1369</v>
      </c>
      <c r="N225" t="s">
        <v>334</v>
      </c>
      <c r="O225"/>
      <c r="P225" t="s">
        <v>1743</v>
      </c>
    </row>
    <row r="226">
      <c r="A226" t="s">
        <v>1362</v>
      </c>
      <c r="B226" t="s">
        <v>1746</v>
      </c>
      <c r="C226" t="s">
        <v>1624</v>
      </c>
      <c r="D226" t="s">
        <v>384</v>
      </c>
      <c r="E226" t="s">
        <v>1363</v>
      </c>
      <c r="F226" t="s">
        <v>1366</v>
      </c>
      <c r="G226" t="s">
        <v>1367</v>
      </c>
      <c r="H226" t="s">
        <v>1374</v>
      </c>
      <c r="I226" t="s">
        <v>1369</v>
      </c>
      <c r="J226" t="s">
        <v>1370</v>
      </c>
      <c r="K226" t="s">
        <v>1369</v>
      </c>
      <c r="L226" t="s">
        <v>1369</v>
      </c>
      <c r="M226" t="s">
        <v>1369</v>
      </c>
      <c r="N226" t="s">
        <v>334</v>
      </c>
      <c r="O226"/>
      <c r="P226" t="s">
        <v>1743</v>
      </c>
    </row>
    <row r="227">
      <c r="A227" t="s">
        <v>1362</v>
      </c>
      <c r="B227" t="s">
        <v>1747</v>
      </c>
      <c r="C227" t="s">
        <v>1624</v>
      </c>
      <c r="D227" t="s">
        <v>364</v>
      </c>
      <c r="E227" t="s">
        <v>1363</v>
      </c>
      <c r="F227" t="s">
        <v>1366</v>
      </c>
      <c r="G227" t="s">
        <v>1367</v>
      </c>
      <c r="H227" t="s">
        <v>1374</v>
      </c>
      <c r="I227" t="s">
        <v>1369</v>
      </c>
      <c r="J227" t="s">
        <v>1370</v>
      </c>
      <c r="K227" t="s">
        <v>1369</v>
      </c>
      <c r="L227" t="s">
        <v>1369</v>
      </c>
      <c r="M227" t="s">
        <v>1369</v>
      </c>
      <c r="N227" t="s">
        <v>334</v>
      </c>
      <c r="O227"/>
      <c r="P227" t="s">
        <v>1748</v>
      </c>
    </row>
    <row r="228">
      <c r="A228" t="s">
        <v>1362</v>
      </c>
      <c r="B228" t="s">
        <v>1749</v>
      </c>
      <c r="C228" t="s">
        <v>1624</v>
      </c>
      <c r="D228" t="s">
        <v>380</v>
      </c>
      <c r="E228" t="s">
        <v>1363</v>
      </c>
      <c r="F228" t="s">
        <v>1366</v>
      </c>
      <c r="G228" t="s">
        <v>1367</v>
      </c>
      <c r="H228" t="s">
        <v>1374</v>
      </c>
      <c r="I228" t="s">
        <v>1369</v>
      </c>
      <c r="J228" t="s">
        <v>1370</v>
      </c>
      <c r="K228" t="s">
        <v>1369</v>
      </c>
      <c r="L228" t="s">
        <v>1369</v>
      </c>
      <c r="M228" t="s">
        <v>1369</v>
      </c>
      <c r="N228" t="s">
        <v>334</v>
      </c>
      <c r="O228"/>
      <c r="P228" t="s">
        <v>1748</v>
      </c>
    </row>
    <row r="229">
      <c r="A229" t="s">
        <v>1362</v>
      </c>
      <c r="B229" t="s">
        <v>1750</v>
      </c>
      <c r="C229" t="s">
        <v>1624</v>
      </c>
      <c r="D229" t="s">
        <v>384</v>
      </c>
      <c r="E229" t="s">
        <v>1363</v>
      </c>
      <c r="F229" t="s">
        <v>1366</v>
      </c>
      <c r="G229" t="s">
        <v>1367</v>
      </c>
      <c r="H229" t="s">
        <v>1374</v>
      </c>
      <c r="I229" t="s">
        <v>1369</v>
      </c>
      <c r="J229" t="s">
        <v>1370</v>
      </c>
      <c r="K229" t="s">
        <v>1369</v>
      </c>
      <c r="L229" t="s">
        <v>1369</v>
      </c>
      <c r="M229" t="s">
        <v>1369</v>
      </c>
      <c r="N229" t="s">
        <v>334</v>
      </c>
      <c r="O229"/>
      <c r="P229" t="s">
        <v>1748</v>
      </c>
    </row>
    <row r="230">
      <c r="A230" t="s">
        <v>1362</v>
      </c>
      <c r="B230" t="s">
        <v>1751</v>
      </c>
      <c r="C230" t="s">
        <v>1624</v>
      </c>
      <c r="D230" t="s">
        <v>364</v>
      </c>
      <c r="E230" t="s">
        <v>1363</v>
      </c>
      <c r="F230" t="s">
        <v>1366</v>
      </c>
      <c r="G230" t="s">
        <v>1367</v>
      </c>
      <c r="H230" t="s">
        <v>1374</v>
      </c>
      <c r="I230" t="s">
        <v>1369</v>
      </c>
      <c r="J230" t="s">
        <v>1370</v>
      </c>
      <c r="K230" t="s">
        <v>1369</v>
      </c>
      <c r="L230" t="s">
        <v>1369</v>
      </c>
      <c r="M230" t="s">
        <v>1369</v>
      </c>
      <c r="N230" t="s">
        <v>334</v>
      </c>
      <c r="O230"/>
      <c r="P230" t="s">
        <v>1752</v>
      </c>
    </row>
    <row r="231">
      <c r="A231" t="s">
        <v>1362</v>
      </c>
      <c r="B231" t="s">
        <v>1753</v>
      </c>
      <c r="C231" t="s">
        <v>1624</v>
      </c>
      <c r="D231" t="s">
        <v>380</v>
      </c>
      <c r="E231" t="s">
        <v>1363</v>
      </c>
      <c r="F231" t="s">
        <v>1366</v>
      </c>
      <c r="G231" t="s">
        <v>1367</v>
      </c>
      <c r="H231" t="s">
        <v>1374</v>
      </c>
      <c r="I231" t="s">
        <v>1369</v>
      </c>
      <c r="J231" t="s">
        <v>1370</v>
      </c>
      <c r="K231" t="s">
        <v>1369</v>
      </c>
      <c r="L231" t="s">
        <v>1369</v>
      </c>
      <c r="M231" t="s">
        <v>1369</v>
      </c>
      <c r="N231" t="s">
        <v>334</v>
      </c>
      <c r="O231"/>
      <c r="P231" t="s">
        <v>1752</v>
      </c>
    </row>
    <row r="232">
      <c r="A232" t="s">
        <v>1362</v>
      </c>
      <c r="B232" t="s">
        <v>1754</v>
      </c>
      <c r="C232" t="s">
        <v>1624</v>
      </c>
      <c r="D232" t="s">
        <v>384</v>
      </c>
      <c r="E232" t="s">
        <v>1363</v>
      </c>
      <c r="F232" t="s">
        <v>1366</v>
      </c>
      <c r="G232" t="s">
        <v>1367</v>
      </c>
      <c r="H232" t="s">
        <v>1374</v>
      </c>
      <c r="I232" t="s">
        <v>1369</v>
      </c>
      <c r="J232" t="s">
        <v>1370</v>
      </c>
      <c r="K232" t="s">
        <v>1369</v>
      </c>
      <c r="L232" t="s">
        <v>1369</v>
      </c>
      <c r="M232" t="s">
        <v>1369</v>
      </c>
      <c r="N232" t="s">
        <v>334</v>
      </c>
      <c r="O232"/>
      <c r="P232" t="s">
        <v>1752</v>
      </c>
    </row>
    <row r="233">
      <c r="A233" t="s">
        <v>1362</v>
      </c>
      <c r="B233" t="s">
        <v>1755</v>
      </c>
      <c r="C233" t="s">
        <v>1624</v>
      </c>
      <c r="D233" t="s">
        <v>364</v>
      </c>
      <c r="E233" t="s">
        <v>1363</v>
      </c>
      <c r="F233" t="s">
        <v>1366</v>
      </c>
      <c r="G233" t="s">
        <v>1367</v>
      </c>
      <c r="H233" t="s">
        <v>1374</v>
      </c>
      <c r="I233" t="s">
        <v>1369</v>
      </c>
      <c r="J233" t="s">
        <v>1370</v>
      </c>
      <c r="K233" t="s">
        <v>1369</v>
      </c>
      <c r="L233" t="s">
        <v>1369</v>
      </c>
      <c r="M233" t="s">
        <v>1369</v>
      </c>
      <c r="N233" t="s">
        <v>334</v>
      </c>
      <c r="O233"/>
      <c r="P233" t="s">
        <v>1756</v>
      </c>
    </row>
    <row r="234">
      <c r="A234" t="s">
        <v>1362</v>
      </c>
      <c r="B234" t="s">
        <v>1757</v>
      </c>
      <c r="C234" t="s">
        <v>1624</v>
      </c>
      <c r="D234" t="s">
        <v>380</v>
      </c>
      <c r="E234" t="s">
        <v>1363</v>
      </c>
      <c r="F234" t="s">
        <v>1366</v>
      </c>
      <c r="G234" t="s">
        <v>1367</v>
      </c>
      <c r="H234" t="s">
        <v>1374</v>
      </c>
      <c r="I234" t="s">
        <v>1369</v>
      </c>
      <c r="J234" t="s">
        <v>1370</v>
      </c>
      <c r="K234" t="s">
        <v>1369</v>
      </c>
      <c r="L234" t="s">
        <v>1369</v>
      </c>
      <c r="M234" t="s">
        <v>1369</v>
      </c>
      <c r="N234" t="s">
        <v>334</v>
      </c>
      <c r="O234"/>
      <c r="P234" t="s">
        <v>1756</v>
      </c>
    </row>
    <row r="235">
      <c r="A235" t="s">
        <v>1362</v>
      </c>
      <c r="B235" t="s">
        <v>1758</v>
      </c>
      <c r="C235" t="s">
        <v>1624</v>
      </c>
      <c r="D235" t="s">
        <v>384</v>
      </c>
      <c r="E235" t="s">
        <v>1363</v>
      </c>
      <c r="F235" t="s">
        <v>1366</v>
      </c>
      <c r="G235" t="s">
        <v>1367</v>
      </c>
      <c r="H235" t="s">
        <v>1374</v>
      </c>
      <c r="I235" t="s">
        <v>1369</v>
      </c>
      <c r="J235" t="s">
        <v>1370</v>
      </c>
      <c r="K235" t="s">
        <v>1369</v>
      </c>
      <c r="L235" t="s">
        <v>1369</v>
      </c>
      <c r="M235" t="s">
        <v>1369</v>
      </c>
      <c r="N235" t="s">
        <v>334</v>
      </c>
      <c r="O235"/>
      <c r="P235" t="s">
        <v>1756</v>
      </c>
    </row>
    <row r="236">
      <c r="A236" t="s">
        <v>1362</v>
      </c>
      <c r="B236" t="s">
        <v>1759</v>
      </c>
      <c r="C236" t="s">
        <v>1624</v>
      </c>
      <c r="D236" t="s">
        <v>384</v>
      </c>
      <c r="E236" t="s">
        <v>1363</v>
      </c>
      <c r="F236" t="s">
        <v>1366</v>
      </c>
      <c r="G236" t="s">
        <v>1367</v>
      </c>
      <c r="H236" t="s">
        <v>1374</v>
      </c>
      <c r="I236" t="s">
        <v>1369</v>
      </c>
      <c r="J236" t="s">
        <v>1370</v>
      </c>
      <c r="K236" t="s">
        <v>1369</v>
      </c>
      <c r="L236" t="s">
        <v>1381</v>
      </c>
      <c r="M236" t="s">
        <v>1369</v>
      </c>
      <c r="N236" t="s">
        <v>334</v>
      </c>
      <c r="O236"/>
      <c r="P236" t="s">
        <v>1760</v>
      </c>
    </row>
    <row r="237">
      <c r="A237" t="s">
        <v>1362</v>
      </c>
      <c r="B237" t="s">
        <v>1761</v>
      </c>
      <c r="C237" t="s">
        <v>1624</v>
      </c>
      <c r="D237" t="s">
        <v>384</v>
      </c>
      <c r="E237" t="s">
        <v>1363</v>
      </c>
      <c r="F237" t="s">
        <v>1366</v>
      </c>
      <c r="G237" t="s">
        <v>1367</v>
      </c>
      <c r="H237" t="s">
        <v>1374</v>
      </c>
      <c r="I237" t="s">
        <v>1369</v>
      </c>
      <c r="J237" t="s">
        <v>1370</v>
      </c>
      <c r="K237" t="s">
        <v>1369</v>
      </c>
      <c r="L237" t="s">
        <v>1381</v>
      </c>
      <c r="M237" t="s">
        <v>1369</v>
      </c>
      <c r="N237" t="s">
        <v>334</v>
      </c>
      <c r="O237"/>
      <c r="P237" t="s">
        <v>1762</v>
      </c>
    </row>
    <row r="238">
      <c r="A238" t="s">
        <v>1362</v>
      </c>
      <c r="B238" t="s">
        <v>1763</v>
      </c>
      <c r="C238" t="s">
        <v>1624</v>
      </c>
      <c r="D238" t="s">
        <v>384</v>
      </c>
      <c r="E238" t="s">
        <v>1363</v>
      </c>
      <c r="F238" t="s">
        <v>1366</v>
      </c>
      <c r="G238" t="s">
        <v>1367</v>
      </c>
      <c r="H238" t="s">
        <v>1374</v>
      </c>
      <c r="I238" t="s">
        <v>1369</v>
      </c>
      <c r="J238" t="s">
        <v>1370</v>
      </c>
      <c r="K238" t="s">
        <v>1369</v>
      </c>
      <c r="L238" t="s">
        <v>1381</v>
      </c>
      <c r="M238" t="s">
        <v>1369</v>
      </c>
      <c r="N238" t="s">
        <v>334</v>
      </c>
      <c r="O238"/>
      <c r="P238" t="s">
        <v>1764</v>
      </c>
    </row>
    <row r="239">
      <c r="A239" t="s">
        <v>1362</v>
      </c>
      <c r="B239" t="s">
        <v>1765</v>
      </c>
      <c r="C239" t="s">
        <v>1624</v>
      </c>
      <c r="D239" t="s">
        <v>384</v>
      </c>
      <c r="E239" t="s">
        <v>1363</v>
      </c>
      <c r="F239" t="s">
        <v>1366</v>
      </c>
      <c r="G239" t="s">
        <v>1367</v>
      </c>
      <c r="H239" t="s">
        <v>1374</v>
      </c>
      <c r="I239" t="s">
        <v>1369</v>
      </c>
      <c r="J239" t="s">
        <v>1370</v>
      </c>
      <c r="K239" t="s">
        <v>1369</v>
      </c>
      <c r="L239" t="s">
        <v>1381</v>
      </c>
      <c r="M239" t="s">
        <v>1369</v>
      </c>
      <c r="N239" t="s">
        <v>334</v>
      </c>
      <c r="O239"/>
      <c r="P239" t="s">
        <v>1766</v>
      </c>
    </row>
    <row r="240">
      <c r="A240" t="s">
        <v>1362</v>
      </c>
      <c r="B240" t="s">
        <v>1767</v>
      </c>
      <c r="C240" t="s">
        <v>1624</v>
      </c>
      <c r="D240" t="s">
        <v>384</v>
      </c>
      <c r="E240" t="s">
        <v>1363</v>
      </c>
      <c r="F240" t="s">
        <v>1366</v>
      </c>
      <c r="G240" t="s">
        <v>1367</v>
      </c>
      <c r="H240" t="s">
        <v>1374</v>
      </c>
      <c r="I240" t="s">
        <v>1369</v>
      </c>
      <c r="J240" t="s">
        <v>1370</v>
      </c>
      <c r="K240" t="s">
        <v>1369</v>
      </c>
      <c r="L240" t="s">
        <v>1381</v>
      </c>
      <c r="M240" t="s">
        <v>1369</v>
      </c>
      <c r="N240" t="s">
        <v>334</v>
      </c>
      <c r="O240"/>
      <c r="P240" t="s">
        <v>1768</v>
      </c>
    </row>
    <row r="241">
      <c r="A241" t="s">
        <v>1362</v>
      </c>
      <c r="B241" t="s">
        <v>1769</v>
      </c>
      <c r="C241" t="s">
        <v>1624</v>
      </c>
      <c r="D241" t="s">
        <v>384</v>
      </c>
      <c r="E241" t="s">
        <v>1363</v>
      </c>
      <c r="F241" t="s">
        <v>1366</v>
      </c>
      <c r="G241" t="s">
        <v>1367</v>
      </c>
      <c r="H241" t="s">
        <v>1374</v>
      </c>
      <c r="I241" t="s">
        <v>1369</v>
      </c>
      <c r="J241" t="s">
        <v>1370</v>
      </c>
      <c r="K241" t="s">
        <v>1369</v>
      </c>
      <c r="L241" t="s">
        <v>1381</v>
      </c>
      <c r="M241" t="s">
        <v>1369</v>
      </c>
      <c r="N241" t="s">
        <v>334</v>
      </c>
      <c r="O241"/>
      <c r="P241" t="s">
        <v>1770</v>
      </c>
    </row>
    <row r="242">
      <c r="A242" t="s">
        <v>1362</v>
      </c>
      <c r="B242" t="s">
        <v>1771</v>
      </c>
      <c r="C242" t="s">
        <v>1624</v>
      </c>
      <c r="D242" t="s">
        <v>384</v>
      </c>
      <c r="E242" t="s">
        <v>1363</v>
      </c>
      <c r="F242" t="s">
        <v>1366</v>
      </c>
      <c r="G242" t="s">
        <v>1367</v>
      </c>
      <c r="H242" t="s">
        <v>1374</v>
      </c>
      <c r="I242" t="s">
        <v>1369</v>
      </c>
      <c r="J242" t="s">
        <v>1370</v>
      </c>
      <c r="K242" t="s">
        <v>1369</v>
      </c>
      <c r="L242" t="s">
        <v>1381</v>
      </c>
      <c r="M242" t="s">
        <v>1369</v>
      </c>
      <c r="N242" t="s">
        <v>334</v>
      </c>
      <c r="O242"/>
      <c r="P242" t="s">
        <v>1772</v>
      </c>
    </row>
    <row r="243">
      <c r="A243" t="s">
        <v>1362</v>
      </c>
      <c r="B243" t="s">
        <v>1773</v>
      </c>
      <c r="C243" t="s">
        <v>1624</v>
      </c>
      <c r="D243" t="s">
        <v>363</v>
      </c>
      <c r="E243" t="s">
        <v>1373</v>
      </c>
      <c r="F243" t="s">
        <v>1366</v>
      </c>
      <c r="G243" t="s">
        <v>1367</v>
      </c>
      <c r="H243" t="s">
        <v>1374</v>
      </c>
      <c r="I243" t="s">
        <v>1369</v>
      </c>
      <c r="J243" t="s">
        <v>1370</v>
      </c>
      <c r="K243" t="s">
        <v>1369</v>
      </c>
      <c r="L243" t="s">
        <v>1369</v>
      </c>
      <c r="M243" t="s">
        <v>1369</v>
      </c>
      <c r="N243" t="s">
        <v>328</v>
      </c>
      <c r="O243"/>
      <c r="P243" t="s">
        <v>1774</v>
      </c>
    </row>
    <row r="244">
      <c r="A244" t="s">
        <v>1362</v>
      </c>
      <c r="B244" t="s">
        <v>1775</v>
      </c>
      <c r="C244" t="s">
        <v>1624</v>
      </c>
      <c r="D244" t="s">
        <v>397</v>
      </c>
      <c r="E244" t="s">
        <v>1373</v>
      </c>
      <c r="F244" t="s">
        <v>1366</v>
      </c>
      <c r="G244" t="s">
        <v>1367</v>
      </c>
      <c r="H244" t="s">
        <v>1776</v>
      </c>
      <c r="I244" t="s">
        <v>1381</v>
      </c>
      <c r="J244" t="s">
        <v>1370</v>
      </c>
      <c r="K244" t="s">
        <v>1369</v>
      </c>
      <c r="L244" t="s">
        <v>1369</v>
      </c>
      <c r="M244" t="s">
        <v>1369</v>
      </c>
      <c r="N244" t="s">
        <v>328</v>
      </c>
      <c r="O244"/>
      <c r="P244" t="s">
        <v>1777</v>
      </c>
    </row>
    <row r="245">
      <c r="A245" t="s">
        <v>1362</v>
      </c>
      <c r="B245" t="s">
        <v>1778</v>
      </c>
      <c r="C245" t="s">
        <v>1624</v>
      </c>
      <c r="D245" t="s">
        <v>397</v>
      </c>
      <c r="E245" t="s">
        <v>1373</v>
      </c>
      <c r="F245" t="s">
        <v>1366</v>
      </c>
      <c r="G245" t="s">
        <v>1367</v>
      </c>
      <c r="H245" t="s">
        <v>1776</v>
      </c>
      <c r="I245" t="s">
        <v>1381</v>
      </c>
      <c r="J245" t="s">
        <v>1370</v>
      </c>
      <c r="K245" t="s">
        <v>1369</v>
      </c>
      <c r="L245" t="s">
        <v>1369</v>
      </c>
      <c r="M245" t="s">
        <v>1369</v>
      </c>
      <c r="N245" t="s">
        <v>328</v>
      </c>
      <c r="O245"/>
      <c r="P245" t="s">
        <v>1779</v>
      </c>
    </row>
    <row r="246">
      <c r="A246" t="s">
        <v>1362</v>
      </c>
      <c r="B246" t="s">
        <v>1780</v>
      </c>
      <c r="C246" t="s">
        <v>1624</v>
      </c>
      <c r="D246" t="s">
        <v>397</v>
      </c>
      <c r="E246" t="s">
        <v>1373</v>
      </c>
      <c r="F246" t="s">
        <v>1366</v>
      </c>
      <c r="G246" t="s">
        <v>1367</v>
      </c>
      <c r="H246" t="s">
        <v>1776</v>
      </c>
      <c r="I246" t="s">
        <v>1381</v>
      </c>
      <c r="J246" t="s">
        <v>1370</v>
      </c>
      <c r="K246" t="s">
        <v>1369</v>
      </c>
      <c r="L246" t="s">
        <v>1369</v>
      </c>
      <c r="M246" t="s">
        <v>1369</v>
      </c>
      <c r="N246" t="s">
        <v>328</v>
      </c>
      <c r="O246"/>
      <c r="P246" t="s">
        <v>1781</v>
      </c>
    </row>
    <row r="247">
      <c r="A247" t="s">
        <v>1362</v>
      </c>
      <c r="B247" t="s">
        <v>1782</v>
      </c>
      <c r="C247" t="s">
        <v>1624</v>
      </c>
      <c r="D247" t="s">
        <v>397</v>
      </c>
      <c r="E247" t="s">
        <v>1373</v>
      </c>
      <c r="F247" t="s">
        <v>1366</v>
      </c>
      <c r="G247" t="s">
        <v>1367</v>
      </c>
      <c r="H247" t="s">
        <v>1776</v>
      </c>
      <c r="I247" t="s">
        <v>1381</v>
      </c>
      <c r="J247" t="s">
        <v>1370</v>
      </c>
      <c r="K247" t="s">
        <v>1369</v>
      </c>
      <c r="L247" t="s">
        <v>1369</v>
      </c>
      <c r="M247" t="s">
        <v>1369</v>
      </c>
      <c r="N247" t="s">
        <v>328</v>
      </c>
      <c r="O247"/>
      <c r="P247" t="s">
        <v>1783</v>
      </c>
    </row>
    <row r="248">
      <c r="A248" t="s">
        <v>1362</v>
      </c>
      <c r="B248" t="s">
        <v>1784</v>
      </c>
      <c r="C248" t="s">
        <v>1624</v>
      </c>
      <c r="D248" t="s">
        <v>397</v>
      </c>
      <c r="E248" t="s">
        <v>1373</v>
      </c>
      <c r="F248" t="s">
        <v>1366</v>
      </c>
      <c r="G248" t="s">
        <v>1367</v>
      </c>
      <c r="H248" t="s">
        <v>1776</v>
      </c>
      <c r="I248" t="s">
        <v>1381</v>
      </c>
      <c r="J248" t="s">
        <v>1370</v>
      </c>
      <c r="K248" t="s">
        <v>1369</v>
      </c>
      <c r="L248" t="s">
        <v>1369</v>
      </c>
      <c r="M248" t="s">
        <v>1369</v>
      </c>
      <c r="N248" t="s">
        <v>328</v>
      </c>
      <c r="O248"/>
      <c r="P248" t="s">
        <v>1785</v>
      </c>
    </row>
    <row r="249">
      <c r="A249" t="s">
        <v>1362</v>
      </c>
      <c r="B249" t="s">
        <v>1786</v>
      </c>
      <c r="C249" t="s">
        <v>1624</v>
      </c>
      <c r="D249" t="s">
        <v>399</v>
      </c>
      <c r="E249" t="s">
        <v>1373</v>
      </c>
      <c r="F249" t="s">
        <v>1366</v>
      </c>
      <c r="G249" t="s">
        <v>1367</v>
      </c>
      <c r="H249" t="s">
        <v>1776</v>
      </c>
      <c r="I249" t="s">
        <v>1381</v>
      </c>
      <c r="J249" t="s">
        <v>1370</v>
      </c>
      <c r="K249" t="s">
        <v>1369</v>
      </c>
      <c r="L249" t="s">
        <v>1369</v>
      </c>
      <c r="M249" t="s">
        <v>1369</v>
      </c>
      <c r="N249" t="s">
        <v>328</v>
      </c>
      <c r="O249"/>
      <c r="P249" t="s">
        <v>1787</v>
      </c>
    </row>
    <row r="250">
      <c r="A250" t="s">
        <v>1362</v>
      </c>
      <c r="B250" t="s">
        <v>1788</v>
      </c>
      <c r="C250" t="s">
        <v>1624</v>
      </c>
      <c r="D250" t="s">
        <v>327</v>
      </c>
      <c r="E250" t="s">
        <v>1373</v>
      </c>
      <c r="F250" t="s">
        <v>1366</v>
      </c>
      <c r="G250" t="s">
        <v>1367</v>
      </c>
      <c r="H250" t="s">
        <v>1776</v>
      </c>
      <c r="I250" t="s">
        <v>1381</v>
      </c>
      <c r="J250" t="s">
        <v>1370</v>
      </c>
      <c r="K250" t="s">
        <v>1369</v>
      </c>
      <c r="L250" t="s">
        <v>1369</v>
      </c>
      <c r="M250" t="s">
        <v>1369</v>
      </c>
      <c r="N250" t="s">
        <v>328</v>
      </c>
      <c r="O250"/>
      <c r="P250" t="s">
        <v>1789</v>
      </c>
    </row>
    <row r="251">
      <c r="A251" t="s">
        <v>1362</v>
      </c>
      <c r="B251" t="s">
        <v>1790</v>
      </c>
      <c r="C251" t="s">
        <v>1624</v>
      </c>
      <c r="D251" t="s">
        <v>359</v>
      </c>
      <c r="E251" t="s">
        <v>1373</v>
      </c>
      <c r="F251" t="s">
        <v>1366</v>
      </c>
      <c r="G251" t="s">
        <v>1367</v>
      </c>
      <c r="H251" t="s">
        <v>1377</v>
      </c>
      <c r="I251" t="s">
        <v>1369</v>
      </c>
      <c r="J251" t="s">
        <v>177</v>
      </c>
      <c r="K251" t="s">
        <v>1381</v>
      </c>
      <c r="L251" t="s">
        <v>1369</v>
      </c>
      <c r="M251" t="s">
        <v>1369</v>
      </c>
      <c r="N251" t="s">
        <v>328</v>
      </c>
      <c r="O251"/>
      <c r="P251" t="s">
        <v>1791</v>
      </c>
    </row>
    <row r="252">
      <c r="A252" t="s">
        <v>1362</v>
      </c>
      <c r="B252" t="s">
        <v>1792</v>
      </c>
      <c r="C252" t="s">
        <v>1624</v>
      </c>
      <c r="D252" t="s">
        <v>363</v>
      </c>
      <c r="E252" t="s">
        <v>1373</v>
      </c>
      <c r="F252" t="s">
        <v>1366</v>
      </c>
      <c r="G252" t="s">
        <v>1367</v>
      </c>
      <c r="H252" t="s">
        <v>1377</v>
      </c>
      <c r="I252" t="s">
        <v>1369</v>
      </c>
      <c r="J252" t="s">
        <v>177</v>
      </c>
      <c r="K252" t="s">
        <v>1381</v>
      </c>
      <c r="L252" t="s">
        <v>1369</v>
      </c>
      <c r="M252" t="s">
        <v>1369</v>
      </c>
      <c r="N252" t="s">
        <v>328</v>
      </c>
      <c r="O252"/>
      <c r="P252" t="s">
        <v>1793</v>
      </c>
    </row>
    <row r="253">
      <c r="A253" t="s">
        <v>1362</v>
      </c>
      <c r="B253" t="s">
        <v>1794</v>
      </c>
      <c r="C253" t="s">
        <v>1624</v>
      </c>
      <c r="D253" t="s">
        <v>359</v>
      </c>
      <c r="E253" t="s">
        <v>1373</v>
      </c>
      <c r="F253" t="s">
        <v>1366</v>
      </c>
      <c r="G253" t="s">
        <v>1367</v>
      </c>
      <c r="H253" t="s">
        <v>1377</v>
      </c>
      <c r="I253" t="s">
        <v>1369</v>
      </c>
      <c r="J253" t="s">
        <v>177</v>
      </c>
      <c r="K253" t="s">
        <v>1381</v>
      </c>
      <c r="L253" t="s">
        <v>1369</v>
      </c>
      <c r="M253" t="s">
        <v>1369</v>
      </c>
      <c r="N253" t="s">
        <v>328</v>
      </c>
      <c r="O253"/>
      <c r="P253" t="s">
        <v>1795</v>
      </c>
    </row>
    <row r="254">
      <c r="A254" t="s">
        <v>1362</v>
      </c>
      <c r="B254" t="s">
        <v>1796</v>
      </c>
      <c r="C254" t="s">
        <v>1624</v>
      </c>
      <c r="D254" t="s">
        <v>363</v>
      </c>
      <c r="E254" t="s">
        <v>1373</v>
      </c>
      <c r="F254" t="s">
        <v>1366</v>
      </c>
      <c r="G254" t="s">
        <v>1367</v>
      </c>
      <c r="H254" t="s">
        <v>1377</v>
      </c>
      <c r="I254" t="s">
        <v>1369</v>
      </c>
      <c r="J254" t="s">
        <v>177</v>
      </c>
      <c r="K254" t="s">
        <v>1381</v>
      </c>
      <c r="L254" t="s">
        <v>1369</v>
      </c>
      <c r="M254" t="s">
        <v>1369</v>
      </c>
      <c r="N254" t="s">
        <v>328</v>
      </c>
      <c r="O254"/>
      <c r="P254" t="s">
        <v>1797</v>
      </c>
    </row>
    <row r="255">
      <c r="A255" t="s">
        <v>1362</v>
      </c>
      <c r="B255" t="s">
        <v>1798</v>
      </c>
      <c r="C255" t="s">
        <v>1624</v>
      </c>
      <c r="D255" t="s">
        <v>359</v>
      </c>
      <c r="E255" t="s">
        <v>1373</v>
      </c>
      <c r="F255" t="s">
        <v>1366</v>
      </c>
      <c r="G255" t="s">
        <v>1367</v>
      </c>
      <c r="H255" t="s">
        <v>1377</v>
      </c>
      <c r="I255" t="s">
        <v>1369</v>
      </c>
      <c r="J255" t="s">
        <v>177</v>
      </c>
      <c r="K255" t="s">
        <v>1381</v>
      </c>
      <c r="L255" t="s">
        <v>1369</v>
      </c>
      <c r="M255" t="s">
        <v>1369</v>
      </c>
      <c r="N255" t="s">
        <v>328</v>
      </c>
      <c r="O255"/>
      <c r="P255" t="s">
        <v>1799</v>
      </c>
    </row>
    <row r="256">
      <c r="A256" t="s">
        <v>1362</v>
      </c>
      <c r="B256" t="s">
        <v>1800</v>
      </c>
      <c r="C256" t="s">
        <v>1624</v>
      </c>
      <c r="D256" t="s">
        <v>359</v>
      </c>
      <c r="E256" t="s">
        <v>1373</v>
      </c>
      <c r="F256" t="s">
        <v>1366</v>
      </c>
      <c r="G256" t="s">
        <v>1367</v>
      </c>
      <c r="H256" t="s">
        <v>1377</v>
      </c>
      <c r="I256" t="s">
        <v>1369</v>
      </c>
      <c r="J256" t="s">
        <v>177</v>
      </c>
      <c r="K256" t="s">
        <v>1381</v>
      </c>
      <c r="L256" t="s">
        <v>1369</v>
      </c>
      <c r="M256" t="s">
        <v>1369</v>
      </c>
      <c r="N256" t="s">
        <v>328</v>
      </c>
      <c r="O256"/>
      <c r="P256" t="s">
        <v>1801</v>
      </c>
    </row>
    <row r="257">
      <c r="A257" t="s">
        <v>1362</v>
      </c>
      <c r="B257" t="s">
        <v>1802</v>
      </c>
      <c r="C257" t="s">
        <v>1624</v>
      </c>
      <c r="D257" t="s">
        <v>359</v>
      </c>
      <c r="E257" t="s">
        <v>1373</v>
      </c>
      <c r="F257" t="s">
        <v>1366</v>
      </c>
      <c r="G257" t="s">
        <v>1367</v>
      </c>
      <c r="H257" t="s">
        <v>1377</v>
      </c>
      <c r="I257" t="s">
        <v>1369</v>
      </c>
      <c r="J257" t="s">
        <v>177</v>
      </c>
      <c r="K257" t="s">
        <v>1381</v>
      </c>
      <c r="L257" t="s">
        <v>1369</v>
      </c>
      <c r="M257" t="s">
        <v>1369</v>
      </c>
      <c r="N257" t="s">
        <v>328</v>
      </c>
      <c r="O257"/>
      <c r="P257" t="s">
        <v>1803</v>
      </c>
    </row>
    <row r="258">
      <c r="A258" t="s">
        <v>1362</v>
      </c>
      <c r="B258" t="s">
        <v>1804</v>
      </c>
      <c r="C258" t="s">
        <v>1624</v>
      </c>
      <c r="D258" t="s">
        <v>359</v>
      </c>
      <c r="E258" t="s">
        <v>1373</v>
      </c>
      <c r="F258" t="s">
        <v>1366</v>
      </c>
      <c r="G258" t="s">
        <v>1367</v>
      </c>
      <c r="H258" t="s">
        <v>1377</v>
      </c>
      <c r="I258" t="s">
        <v>1369</v>
      </c>
      <c r="J258" t="s">
        <v>177</v>
      </c>
      <c r="K258" t="s">
        <v>1381</v>
      </c>
      <c r="L258" t="s">
        <v>1369</v>
      </c>
      <c r="M258" t="s">
        <v>1369</v>
      </c>
      <c r="N258" t="s">
        <v>328</v>
      </c>
      <c r="O258"/>
      <c r="P258" t="s">
        <v>1805</v>
      </c>
    </row>
    <row r="259">
      <c r="A259" t="s">
        <v>1362</v>
      </c>
      <c r="B259" t="s">
        <v>1806</v>
      </c>
      <c r="C259" t="s">
        <v>1624</v>
      </c>
      <c r="D259" t="s">
        <v>359</v>
      </c>
      <c r="E259" t="s">
        <v>1373</v>
      </c>
      <c r="F259" t="s">
        <v>1366</v>
      </c>
      <c r="G259" t="s">
        <v>1367</v>
      </c>
      <c r="H259" t="s">
        <v>1377</v>
      </c>
      <c r="I259" t="s">
        <v>1369</v>
      </c>
      <c r="J259" t="s">
        <v>177</v>
      </c>
      <c r="K259" t="s">
        <v>1381</v>
      </c>
      <c r="L259" t="s">
        <v>1369</v>
      </c>
      <c r="M259" t="s">
        <v>1369</v>
      </c>
      <c r="N259" t="s">
        <v>328</v>
      </c>
      <c r="O259"/>
      <c r="P259" t="s">
        <v>1807</v>
      </c>
    </row>
    <row r="260">
      <c r="A260" t="s">
        <v>1362</v>
      </c>
      <c r="B260" t="s">
        <v>1808</v>
      </c>
      <c r="C260" t="s">
        <v>1624</v>
      </c>
      <c r="D260" t="s">
        <v>384</v>
      </c>
      <c r="E260" t="s">
        <v>1373</v>
      </c>
      <c r="F260" t="s">
        <v>1366</v>
      </c>
      <c r="G260" t="s">
        <v>1367</v>
      </c>
      <c r="H260" t="s">
        <v>1776</v>
      </c>
      <c r="I260" t="s">
        <v>1381</v>
      </c>
      <c r="J260" t="s">
        <v>1370</v>
      </c>
      <c r="K260" t="s">
        <v>1369</v>
      </c>
      <c r="L260" t="s">
        <v>1369</v>
      </c>
      <c r="M260" t="s">
        <v>1369</v>
      </c>
      <c r="N260" t="s">
        <v>334</v>
      </c>
      <c r="O260"/>
      <c r="P260" t="s">
        <v>1809</v>
      </c>
    </row>
    <row r="261">
      <c r="A261" t="s">
        <v>1362</v>
      </c>
      <c r="B261" t="s">
        <v>1810</v>
      </c>
      <c r="C261" t="s">
        <v>1624</v>
      </c>
      <c r="D261" t="s">
        <v>384</v>
      </c>
      <c r="E261" t="s">
        <v>1373</v>
      </c>
      <c r="F261" t="s">
        <v>1366</v>
      </c>
      <c r="G261" t="s">
        <v>1367</v>
      </c>
      <c r="H261" t="s">
        <v>1776</v>
      </c>
      <c r="I261" t="s">
        <v>1381</v>
      </c>
      <c r="J261" t="s">
        <v>1370</v>
      </c>
      <c r="K261" t="s">
        <v>1369</v>
      </c>
      <c r="L261" t="s">
        <v>1369</v>
      </c>
      <c r="M261" t="s">
        <v>1369</v>
      </c>
      <c r="N261" t="s">
        <v>334</v>
      </c>
      <c r="O261"/>
      <c r="P261" t="s">
        <v>1811</v>
      </c>
    </row>
    <row r="262">
      <c r="A262" t="s">
        <v>1362</v>
      </c>
      <c r="B262" t="s">
        <v>1812</v>
      </c>
      <c r="C262" t="s">
        <v>1624</v>
      </c>
      <c r="D262" t="s">
        <v>384</v>
      </c>
      <c r="E262" t="s">
        <v>1373</v>
      </c>
      <c r="F262" t="s">
        <v>1366</v>
      </c>
      <c r="G262" t="s">
        <v>1367</v>
      </c>
      <c r="H262" t="s">
        <v>1776</v>
      </c>
      <c r="I262" t="s">
        <v>1381</v>
      </c>
      <c r="J262" t="s">
        <v>1370</v>
      </c>
      <c r="K262" t="s">
        <v>1369</v>
      </c>
      <c r="L262" t="s">
        <v>1369</v>
      </c>
      <c r="M262" t="s">
        <v>1369</v>
      </c>
      <c r="N262" t="s">
        <v>334</v>
      </c>
      <c r="O262"/>
      <c r="P262" t="s">
        <v>1813</v>
      </c>
    </row>
    <row r="263">
      <c r="A263" t="s">
        <v>1362</v>
      </c>
      <c r="B263" t="s">
        <v>1814</v>
      </c>
      <c r="C263" t="s">
        <v>1624</v>
      </c>
      <c r="D263" t="s">
        <v>384</v>
      </c>
      <c r="E263" t="s">
        <v>1373</v>
      </c>
      <c r="F263" t="s">
        <v>1366</v>
      </c>
      <c r="G263" t="s">
        <v>1367</v>
      </c>
      <c r="H263" t="s">
        <v>1776</v>
      </c>
      <c r="I263" t="s">
        <v>1381</v>
      </c>
      <c r="J263" t="s">
        <v>1370</v>
      </c>
      <c r="K263" t="s">
        <v>1369</v>
      </c>
      <c r="L263" t="s">
        <v>1369</v>
      </c>
      <c r="M263" t="s">
        <v>1369</v>
      </c>
      <c r="N263" t="s">
        <v>334</v>
      </c>
      <c r="O263"/>
      <c r="P263" t="s">
        <v>1815</v>
      </c>
    </row>
    <row r="264">
      <c r="A264" t="s">
        <v>1362</v>
      </c>
      <c r="B264" t="s">
        <v>1816</v>
      </c>
      <c r="C264" t="s">
        <v>1624</v>
      </c>
      <c r="D264" t="s">
        <v>384</v>
      </c>
      <c r="E264" t="s">
        <v>1373</v>
      </c>
      <c r="F264" t="s">
        <v>1366</v>
      </c>
      <c r="G264" t="s">
        <v>1367</v>
      </c>
      <c r="H264" t="s">
        <v>1776</v>
      </c>
      <c r="I264" t="s">
        <v>1381</v>
      </c>
      <c r="J264" t="s">
        <v>1370</v>
      </c>
      <c r="K264" t="s">
        <v>1369</v>
      </c>
      <c r="L264" t="s">
        <v>1369</v>
      </c>
      <c r="M264" t="s">
        <v>1369</v>
      </c>
      <c r="N264" t="s">
        <v>334</v>
      </c>
      <c r="O264"/>
      <c r="P264" t="s">
        <v>1817</v>
      </c>
    </row>
    <row r="265">
      <c r="A265" t="s">
        <v>1362</v>
      </c>
      <c r="B265" t="s">
        <v>1818</v>
      </c>
      <c r="C265" t="s">
        <v>1624</v>
      </c>
      <c r="D265" t="s">
        <v>384</v>
      </c>
      <c r="E265" t="s">
        <v>1373</v>
      </c>
      <c r="F265" t="s">
        <v>1366</v>
      </c>
      <c r="G265" t="s">
        <v>1367</v>
      </c>
      <c r="H265" t="s">
        <v>1776</v>
      </c>
      <c r="I265" t="s">
        <v>1381</v>
      </c>
      <c r="J265" t="s">
        <v>1370</v>
      </c>
      <c r="K265" t="s">
        <v>1369</v>
      </c>
      <c r="L265" t="s">
        <v>1369</v>
      </c>
      <c r="M265" t="s">
        <v>1369</v>
      </c>
      <c r="N265" t="s">
        <v>334</v>
      </c>
      <c r="O265"/>
      <c r="P265" t="s">
        <v>1819</v>
      </c>
    </row>
    <row r="266">
      <c r="A266" t="s">
        <v>1362</v>
      </c>
      <c r="B266" t="s">
        <v>1820</v>
      </c>
      <c r="C266" t="s">
        <v>1624</v>
      </c>
      <c r="D266" t="s">
        <v>384</v>
      </c>
      <c r="E266" t="s">
        <v>1373</v>
      </c>
      <c r="F266" t="s">
        <v>1366</v>
      </c>
      <c r="G266" t="s">
        <v>1367</v>
      </c>
      <c r="H266" t="s">
        <v>1776</v>
      </c>
      <c r="I266" t="s">
        <v>1381</v>
      </c>
      <c r="J266" t="s">
        <v>1370</v>
      </c>
      <c r="K266" t="s">
        <v>1369</v>
      </c>
      <c r="L266" t="s">
        <v>1369</v>
      </c>
      <c r="M266" t="s">
        <v>1369</v>
      </c>
      <c r="N266" t="s">
        <v>334</v>
      </c>
      <c r="O266"/>
      <c r="P266" t="s">
        <v>1821</v>
      </c>
    </row>
    <row r="267">
      <c r="A267" t="s">
        <v>1362</v>
      </c>
      <c r="B267" t="s">
        <v>1822</v>
      </c>
      <c r="C267" t="s">
        <v>1624</v>
      </c>
      <c r="D267" t="s">
        <v>363</v>
      </c>
      <c r="E267" t="s">
        <v>1376</v>
      </c>
      <c r="F267" t="s">
        <v>1366</v>
      </c>
      <c r="G267" t="s">
        <v>1367</v>
      </c>
      <c r="H267" t="s">
        <v>1374</v>
      </c>
      <c r="I267" t="s">
        <v>1369</v>
      </c>
      <c r="J267" t="s">
        <v>1370</v>
      </c>
      <c r="K267" t="s">
        <v>1369</v>
      </c>
      <c r="L267" t="s">
        <v>1369</v>
      </c>
      <c r="M267" t="s">
        <v>1369</v>
      </c>
      <c r="N267" t="s">
        <v>328</v>
      </c>
      <c r="O267"/>
      <c r="P267" t="s">
        <v>1823</v>
      </c>
    </row>
    <row r="268">
      <c r="A268" t="s">
        <v>1362</v>
      </c>
      <c r="B268" t="s">
        <v>1824</v>
      </c>
      <c r="C268" t="s">
        <v>1624</v>
      </c>
      <c r="D268" t="s">
        <v>363</v>
      </c>
      <c r="E268" t="s">
        <v>1380</v>
      </c>
      <c r="F268" t="s">
        <v>1366</v>
      </c>
      <c r="G268" t="s">
        <v>1367</v>
      </c>
      <c r="H268" t="s">
        <v>1377</v>
      </c>
      <c r="I268" t="s">
        <v>1369</v>
      </c>
      <c r="J268" t="s">
        <v>177</v>
      </c>
      <c r="K268" t="s">
        <v>1381</v>
      </c>
      <c r="L268" t="s">
        <v>1369</v>
      </c>
      <c r="M268" t="s">
        <v>1369</v>
      </c>
      <c r="N268" t="s">
        <v>328</v>
      </c>
      <c r="O268"/>
      <c r="P268" t="s">
        <v>1825</v>
      </c>
    </row>
    <row r="269">
      <c r="A269" t="s">
        <v>1362</v>
      </c>
      <c r="B269" t="s">
        <v>1826</v>
      </c>
      <c r="C269" t="s">
        <v>1624</v>
      </c>
      <c r="D269" t="s">
        <v>327</v>
      </c>
      <c r="E269" t="s">
        <v>1363</v>
      </c>
      <c r="F269" t="s">
        <v>1366</v>
      </c>
      <c r="G269" t="s">
        <v>1367</v>
      </c>
      <c r="H269" t="s">
        <v>1776</v>
      </c>
      <c r="I269" t="s">
        <v>1369</v>
      </c>
      <c r="J269" t="s">
        <v>177</v>
      </c>
      <c r="K269" t="s">
        <v>1369</v>
      </c>
      <c r="L269" t="s">
        <v>1381</v>
      </c>
      <c r="M269" t="s">
        <v>1369</v>
      </c>
      <c r="N269" t="s">
        <v>328</v>
      </c>
      <c r="O269"/>
      <c r="P269" t="s">
        <v>1827</v>
      </c>
    </row>
    <row r="270">
      <c r="A270" t="s">
        <v>1362</v>
      </c>
      <c r="B270" t="s">
        <v>1828</v>
      </c>
      <c r="C270" t="s">
        <v>1624</v>
      </c>
      <c r="D270" t="s">
        <v>395</v>
      </c>
      <c r="E270" t="s">
        <v>1363</v>
      </c>
      <c r="F270" t="s">
        <v>1366</v>
      </c>
      <c r="G270" t="s">
        <v>1367</v>
      </c>
      <c r="H270" t="s">
        <v>1776</v>
      </c>
      <c r="I270" t="s">
        <v>1369</v>
      </c>
      <c r="J270" t="s">
        <v>177</v>
      </c>
      <c r="K270" t="s">
        <v>1369</v>
      </c>
      <c r="L270" t="s">
        <v>1381</v>
      </c>
      <c r="M270" t="s">
        <v>1369</v>
      </c>
      <c r="N270" t="s">
        <v>328</v>
      </c>
      <c r="O270"/>
      <c r="P270" t="s">
        <v>1829</v>
      </c>
    </row>
    <row r="271">
      <c r="A271" t="s">
        <v>1362</v>
      </c>
      <c r="B271" t="s">
        <v>1830</v>
      </c>
      <c r="C271" t="s">
        <v>1624</v>
      </c>
      <c r="D271" t="s">
        <v>404</v>
      </c>
      <c r="E271" t="s">
        <v>1363</v>
      </c>
      <c r="F271" t="s">
        <v>1366</v>
      </c>
      <c r="G271" t="s">
        <v>1367</v>
      </c>
      <c r="H271" t="s">
        <v>1776</v>
      </c>
      <c r="I271" t="s">
        <v>1369</v>
      </c>
      <c r="J271" t="s">
        <v>177</v>
      </c>
      <c r="K271" t="s">
        <v>1369</v>
      </c>
      <c r="L271" t="s">
        <v>1381</v>
      </c>
      <c r="M271" t="s">
        <v>1369</v>
      </c>
      <c r="N271" t="s">
        <v>328</v>
      </c>
      <c r="O271"/>
      <c r="P271" t="s">
        <v>1831</v>
      </c>
    </row>
    <row r="272">
      <c r="A272" t="s">
        <v>1362</v>
      </c>
      <c r="B272" t="s">
        <v>1832</v>
      </c>
      <c r="C272" t="s">
        <v>1624</v>
      </c>
      <c r="D272" t="s">
        <v>350</v>
      </c>
      <c r="E272" t="s">
        <v>1363</v>
      </c>
      <c r="F272" t="s">
        <v>1366</v>
      </c>
      <c r="G272" t="s">
        <v>1367</v>
      </c>
      <c r="H272" t="s">
        <v>1833</v>
      </c>
      <c r="I272" t="s">
        <v>1369</v>
      </c>
      <c r="J272" t="s">
        <v>1834</v>
      </c>
      <c r="K272" t="s">
        <v>1369</v>
      </c>
      <c r="L272" t="s">
        <v>1369</v>
      </c>
      <c r="M272" t="s">
        <v>1369</v>
      </c>
      <c r="N272" t="s">
        <v>351</v>
      </c>
      <c r="O272"/>
      <c r="P272" t="s">
        <v>1835</v>
      </c>
    </row>
    <row r="273">
      <c r="A273" t="s">
        <v>1362</v>
      </c>
      <c r="B273" t="s">
        <v>1836</v>
      </c>
      <c r="C273" t="s">
        <v>1624</v>
      </c>
      <c r="D273" t="s">
        <v>349</v>
      </c>
      <c r="E273" t="s">
        <v>1363</v>
      </c>
      <c r="F273" t="s">
        <v>1366</v>
      </c>
      <c r="G273" t="s">
        <v>1367</v>
      </c>
      <c r="H273" t="s">
        <v>1833</v>
      </c>
      <c r="I273" t="s">
        <v>1369</v>
      </c>
      <c r="J273" t="s">
        <v>1834</v>
      </c>
      <c r="K273" t="s">
        <v>1369</v>
      </c>
      <c r="L273" t="s">
        <v>1369</v>
      </c>
      <c r="M273" t="s">
        <v>1369</v>
      </c>
      <c r="N273" t="s">
        <v>324</v>
      </c>
      <c r="O273"/>
      <c r="P273" t="s">
        <v>1837</v>
      </c>
    </row>
    <row r="274">
      <c r="A274" t="s">
        <v>1362</v>
      </c>
      <c r="B274" t="s">
        <v>1838</v>
      </c>
      <c r="C274" t="s">
        <v>1624</v>
      </c>
      <c r="D274" t="s">
        <v>1365</v>
      </c>
      <c r="E274" t="s">
        <v>1398</v>
      </c>
      <c r="F274" t="s">
        <v>1366</v>
      </c>
      <c r="G274" t="s">
        <v>1367</v>
      </c>
      <c r="H274" t="s">
        <v>1374</v>
      </c>
      <c r="I274" t="s">
        <v>1369</v>
      </c>
      <c r="J274" t="s">
        <v>1370</v>
      </c>
      <c r="K274" t="s">
        <v>1381</v>
      </c>
      <c r="L274" t="s">
        <v>1369</v>
      </c>
      <c r="M274" t="s">
        <v>1369</v>
      </c>
      <c r="N274" t="s">
        <v>1371</v>
      </c>
      <c r="O274"/>
      <c r="P274" t="s">
        <v>1839</v>
      </c>
    </row>
    <row r="275">
      <c r="A275" t="s">
        <v>1362</v>
      </c>
      <c r="B275" t="s">
        <v>1840</v>
      </c>
      <c r="C275" t="s">
        <v>1624</v>
      </c>
      <c r="D275" t="s">
        <v>1365</v>
      </c>
      <c r="E275" t="s">
        <v>1399</v>
      </c>
      <c r="F275" t="s">
        <v>1366</v>
      </c>
      <c r="G275" t="s">
        <v>1367</v>
      </c>
      <c r="H275" t="s">
        <v>1374</v>
      </c>
      <c r="I275" t="s">
        <v>1369</v>
      </c>
      <c r="J275" t="s">
        <v>1370</v>
      </c>
      <c r="K275" t="s">
        <v>1369</v>
      </c>
      <c r="L275" t="s">
        <v>1369</v>
      </c>
      <c r="M275" t="s">
        <v>1369</v>
      </c>
      <c r="N275" t="s">
        <v>1371</v>
      </c>
      <c r="O275"/>
      <c r="P275" t="s">
        <v>1841</v>
      </c>
    </row>
    <row r="276">
      <c r="A276" t="s">
        <v>1362</v>
      </c>
      <c r="B276" t="s">
        <v>1842</v>
      </c>
      <c r="C276" t="s">
        <v>1624</v>
      </c>
      <c r="D276" t="s">
        <v>1365</v>
      </c>
      <c r="E276" t="s">
        <v>1400</v>
      </c>
      <c r="F276" t="s">
        <v>1366</v>
      </c>
      <c r="G276" t="s">
        <v>1367</v>
      </c>
      <c r="H276" t="s">
        <v>1374</v>
      </c>
      <c r="I276" t="s">
        <v>1369</v>
      </c>
      <c r="J276" t="s">
        <v>1370</v>
      </c>
      <c r="K276" t="s">
        <v>1369</v>
      </c>
      <c r="L276" t="s">
        <v>1369</v>
      </c>
      <c r="M276" t="s">
        <v>1369</v>
      </c>
      <c r="N276" t="s">
        <v>1371</v>
      </c>
      <c r="O276"/>
      <c r="P276" t="s">
        <v>1843</v>
      </c>
    </row>
    <row r="277">
      <c r="A277" t="s">
        <v>1362</v>
      </c>
      <c r="B277" t="s">
        <v>1844</v>
      </c>
      <c r="C277" t="s">
        <v>1624</v>
      </c>
      <c r="D277" t="s">
        <v>1365</v>
      </c>
      <c r="E277" t="s">
        <v>1402</v>
      </c>
      <c r="F277" t="s">
        <v>1366</v>
      </c>
      <c r="G277" t="s">
        <v>1367</v>
      </c>
      <c r="H277" t="s">
        <v>1374</v>
      </c>
      <c r="I277" t="s">
        <v>1369</v>
      </c>
      <c r="J277" t="s">
        <v>1370</v>
      </c>
      <c r="K277" t="s">
        <v>1369</v>
      </c>
      <c r="L277" t="s">
        <v>1369</v>
      </c>
      <c r="M277" t="s">
        <v>1369</v>
      </c>
      <c r="N277" t="s">
        <v>1371</v>
      </c>
      <c r="O277"/>
      <c r="P277" t="s">
        <v>1845</v>
      </c>
    </row>
    <row r="278">
      <c r="A278" t="s">
        <v>1362</v>
      </c>
      <c r="B278" t="s">
        <v>1846</v>
      </c>
      <c r="C278" t="s">
        <v>1624</v>
      </c>
      <c r="D278" t="s">
        <v>1365</v>
      </c>
      <c r="E278" t="s">
        <v>1403</v>
      </c>
      <c r="F278" t="s">
        <v>1366</v>
      </c>
      <c r="G278" t="s">
        <v>1367</v>
      </c>
      <c r="H278" t="s">
        <v>1377</v>
      </c>
      <c r="I278" t="s">
        <v>1369</v>
      </c>
      <c r="J278" t="s">
        <v>1370</v>
      </c>
      <c r="K278" t="s">
        <v>1369</v>
      </c>
      <c r="L278" t="s">
        <v>1369</v>
      </c>
      <c r="M278" t="s">
        <v>1369</v>
      </c>
      <c r="N278" t="s">
        <v>1371</v>
      </c>
      <c r="O278"/>
      <c r="P278" t="s">
        <v>1847</v>
      </c>
    </row>
    <row r="279">
      <c r="A279" t="s">
        <v>1362</v>
      </c>
      <c r="B279" t="s">
        <v>1848</v>
      </c>
      <c r="C279" t="s">
        <v>1624</v>
      </c>
      <c r="D279" t="s">
        <v>1365</v>
      </c>
      <c r="E279" t="s">
        <v>1404</v>
      </c>
      <c r="F279" t="s">
        <v>1366</v>
      </c>
      <c r="G279" t="s">
        <v>1367</v>
      </c>
      <c r="H279" t="s">
        <v>1377</v>
      </c>
      <c r="I279" t="s">
        <v>1369</v>
      </c>
      <c r="J279" t="s">
        <v>1378</v>
      </c>
      <c r="K279" t="s">
        <v>1369</v>
      </c>
      <c r="L279" t="s">
        <v>1369</v>
      </c>
      <c r="M279" t="s">
        <v>1369</v>
      </c>
      <c r="N279" t="s">
        <v>1371</v>
      </c>
      <c r="O279"/>
      <c r="P279" t="s">
        <v>1849</v>
      </c>
    </row>
    <row r="280">
      <c r="A280" t="s">
        <v>1362</v>
      </c>
      <c r="B280" t="s">
        <v>1850</v>
      </c>
      <c r="C280" t="s">
        <v>1851</v>
      </c>
      <c r="D280" t="s">
        <v>339</v>
      </c>
      <c r="E280" t="s">
        <v>1363</v>
      </c>
      <c r="F280" t="s">
        <v>1366</v>
      </c>
      <c r="G280" t="s">
        <v>1367</v>
      </c>
      <c r="H280" t="s">
        <v>1776</v>
      </c>
      <c r="I280" t="s">
        <v>1381</v>
      </c>
      <c r="J280" t="s">
        <v>1370</v>
      </c>
      <c r="K280" t="s">
        <v>1369</v>
      </c>
      <c r="L280" t="s">
        <v>1369</v>
      </c>
      <c r="M280" t="s">
        <v>1369</v>
      </c>
      <c r="N280" t="s">
        <v>328</v>
      </c>
      <c r="O280"/>
      <c r="P280" t="s">
        <v>1852</v>
      </c>
    </row>
    <row r="281">
      <c r="A281" t="s">
        <v>1362</v>
      </c>
      <c r="B281" t="s">
        <v>1853</v>
      </c>
      <c r="C281" t="s">
        <v>1851</v>
      </c>
      <c r="D281" t="s">
        <v>357</v>
      </c>
      <c r="E281" t="s">
        <v>1363</v>
      </c>
      <c r="F281" t="s">
        <v>1366</v>
      </c>
      <c r="G281" t="s">
        <v>1367</v>
      </c>
      <c r="H281" t="s">
        <v>1776</v>
      </c>
      <c r="I281" t="s">
        <v>1381</v>
      </c>
      <c r="J281" t="s">
        <v>1370</v>
      </c>
      <c r="K281" t="s">
        <v>1369</v>
      </c>
      <c r="L281" t="s">
        <v>1369</v>
      </c>
      <c r="M281" t="s">
        <v>1369</v>
      </c>
      <c r="N281" t="s">
        <v>328</v>
      </c>
      <c r="O281"/>
      <c r="P281" t="s">
        <v>1854</v>
      </c>
    </row>
    <row r="282">
      <c r="A282" t="s">
        <v>1362</v>
      </c>
      <c r="B282" t="s">
        <v>1855</v>
      </c>
      <c r="C282" t="s">
        <v>1851</v>
      </c>
      <c r="D282" t="s">
        <v>339</v>
      </c>
      <c r="E282" t="s">
        <v>1363</v>
      </c>
      <c r="F282" t="s">
        <v>1366</v>
      </c>
      <c r="G282" t="s">
        <v>1367</v>
      </c>
      <c r="H282" t="s">
        <v>1856</v>
      </c>
      <c r="I282" t="s">
        <v>1381</v>
      </c>
      <c r="J282" t="s">
        <v>1857</v>
      </c>
      <c r="K282" t="s">
        <v>1381</v>
      </c>
      <c r="L282" t="s">
        <v>1369</v>
      </c>
      <c r="M282" t="s">
        <v>1369</v>
      </c>
      <c r="N282" t="s">
        <v>328</v>
      </c>
      <c r="O282"/>
      <c r="P282" t="s">
        <v>1858</v>
      </c>
    </row>
    <row r="283">
      <c r="A283" t="s">
        <v>1362</v>
      </c>
      <c r="B283" t="s">
        <v>1859</v>
      </c>
      <c r="C283" t="s">
        <v>1851</v>
      </c>
      <c r="D283" t="s">
        <v>357</v>
      </c>
      <c r="E283" t="s">
        <v>1363</v>
      </c>
      <c r="F283" t="s">
        <v>1366</v>
      </c>
      <c r="G283" t="s">
        <v>1367</v>
      </c>
      <c r="H283" t="s">
        <v>1856</v>
      </c>
      <c r="I283" t="s">
        <v>1381</v>
      </c>
      <c r="J283" t="s">
        <v>1857</v>
      </c>
      <c r="K283" t="s">
        <v>1381</v>
      </c>
      <c r="L283" t="s">
        <v>1369</v>
      </c>
      <c r="M283" t="s">
        <v>1369</v>
      </c>
      <c r="N283" t="s">
        <v>328</v>
      </c>
      <c r="O283"/>
      <c r="P283" t="s">
        <v>1858</v>
      </c>
    </row>
    <row r="284">
      <c r="A284" t="s">
        <v>1362</v>
      </c>
      <c r="B284" t="s">
        <v>1860</v>
      </c>
      <c r="C284" t="s">
        <v>1851</v>
      </c>
      <c r="D284" t="s">
        <v>339</v>
      </c>
      <c r="E284" t="s">
        <v>1373</v>
      </c>
      <c r="F284" t="s">
        <v>1366</v>
      </c>
      <c r="G284" t="s">
        <v>1367</v>
      </c>
      <c r="H284" t="s">
        <v>1856</v>
      </c>
      <c r="I284" t="s">
        <v>1381</v>
      </c>
      <c r="J284" t="s">
        <v>1857</v>
      </c>
      <c r="K284" t="s">
        <v>1381</v>
      </c>
      <c r="L284" t="s">
        <v>1369</v>
      </c>
      <c r="M284" t="s">
        <v>1369</v>
      </c>
      <c r="N284" t="s">
        <v>328</v>
      </c>
      <c r="O284"/>
      <c r="P284" t="s">
        <v>1861</v>
      </c>
    </row>
    <row r="285">
      <c r="A285" t="s">
        <v>1362</v>
      </c>
      <c r="B285" t="s">
        <v>1862</v>
      </c>
      <c r="C285" t="s">
        <v>1851</v>
      </c>
      <c r="D285" t="s">
        <v>357</v>
      </c>
      <c r="E285" t="s">
        <v>1373</v>
      </c>
      <c r="F285" t="s">
        <v>1366</v>
      </c>
      <c r="G285" t="s">
        <v>1367</v>
      </c>
      <c r="H285" t="s">
        <v>1856</v>
      </c>
      <c r="I285" t="s">
        <v>1381</v>
      </c>
      <c r="J285" t="s">
        <v>1857</v>
      </c>
      <c r="K285" t="s">
        <v>1381</v>
      </c>
      <c r="L285" t="s">
        <v>1369</v>
      </c>
      <c r="M285" t="s">
        <v>1369</v>
      </c>
      <c r="N285" t="s">
        <v>328</v>
      </c>
      <c r="O285"/>
      <c r="P285" t="s">
        <v>1863</v>
      </c>
    </row>
    <row r="286">
      <c r="A286" t="s">
        <v>1362</v>
      </c>
      <c r="B286" t="s">
        <v>1864</v>
      </c>
      <c r="C286" t="s">
        <v>1851</v>
      </c>
      <c r="D286" t="s">
        <v>339</v>
      </c>
      <c r="E286" t="s">
        <v>1376</v>
      </c>
      <c r="F286" t="s">
        <v>1366</v>
      </c>
      <c r="G286" t="s">
        <v>1367</v>
      </c>
      <c r="H286" t="s">
        <v>1856</v>
      </c>
      <c r="I286" t="s">
        <v>1381</v>
      </c>
      <c r="J286" t="s">
        <v>1857</v>
      </c>
      <c r="K286" t="s">
        <v>1381</v>
      </c>
      <c r="L286" t="s">
        <v>1369</v>
      </c>
      <c r="M286" t="s">
        <v>1369</v>
      </c>
      <c r="N286" t="s">
        <v>328</v>
      </c>
      <c r="O286"/>
      <c r="P286" t="s">
        <v>1861</v>
      </c>
    </row>
    <row r="287">
      <c r="A287" t="s">
        <v>1362</v>
      </c>
      <c r="B287" t="s">
        <v>1865</v>
      </c>
      <c r="C287" t="s">
        <v>1851</v>
      </c>
      <c r="D287" t="s">
        <v>357</v>
      </c>
      <c r="E287" t="s">
        <v>1376</v>
      </c>
      <c r="F287" t="s">
        <v>1366</v>
      </c>
      <c r="G287" t="s">
        <v>1367</v>
      </c>
      <c r="H287" t="s">
        <v>1856</v>
      </c>
      <c r="I287" t="s">
        <v>1381</v>
      </c>
      <c r="J287" t="s">
        <v>1857</v>
      </c>
      <c r="K287" t="s">
        <v>1381</v>
      </c>
      <c r="L287" t="s">
        <v>1369</v>
      </c>
      <c r="M287" t="s">
        <v>1369</v>
      </c>
      <c r="N287" t="s">
        <v>328</v>
      </c>
      <c r="O287"/>
      <c r="P287" t="s">
        <v>1863</v>
      </c>
    </row>
    <row r="288">
      <c r="A288" t="s">
        <v>1362</v>
      </c>
      <c r="B288" t="s">
        <v>1866</v>
      </c>
      <c r="C288" t="s">
        <v>1851</v>
      </c>
      <c r="D288" t="s">
        <v>331</v>
      </c>
      <c r="E288" t="s">
        <v>1363</v>
      </c>
      <c r="F288" t="s">
        <v>1366</v>
      </c>
      <c r="G288" t="s">
        <v>1367</v>
      </c>
      <c r="H288" t="s">
        <v>1776</v>
      </c>
      <c r="I288" t="s">
        <v>1381</v>
      </c>
      <c r="J288" t="s">
        <v>1370</v>
      </c>
      <c r="K288" t="s">
        <v>1369</v>
      </c>
      <c r="L288" t="s">
        <v>1369</v>
      </c>
      <c r="M288" t="s">
        <v>1369</v>
      </c>
      <c r="N288" t="s">
        <v>332</v>
      </c>
      <c r="O288"/>
      <c r="P288" t="s">
        <v>1867</v>
      </c>
    </row>
    <row r="289">
      <c r="A289" t="s">
        <v>1362</v>
      </c>
      <c r="B289" t="s">
        <v>1868</v>
      </c>
      <c r="C289" t="s">
        <v>1851</v>
      </c>
      <c r="D289" t="s">
        <v>339</v>
      </c>
      <c r="E289" t="s">
        <v>1363</v>
      </c>
      <c r="F289" t="s">
        <v>1366</v>
      </c>
      <c r="G289" t="s">
        <v>1367</v>
      </c>
      <c r="H289" t="s">
        <v>1776</v>
      </c>
      <c r="I289" t="s">
        <v>1381</v>
      </c>
      <c r="J289" t="s">
        <v>1370</v>
      </c>
      <c r="K289" t="s">
        <v>1369</v>
      </c>
      <c r="L289" t="s">
        <v>1369</v>
      </c>
      <c r="M289" t="s">
        <v>1369</v>
      </c>
      <c r="N289" t="s">
        <v>328</v>
      </c>
      <c r="O289"/>
      <c r="P289" t="s">
        <v>1869</v>
      </c>
    </row>
    <row r="290">
      <c r="A290" t="s">
        <v>1362</v>
      </c>
      <c r="B290" t="s">
        <v>1870</v>
      </c>
      <c r="C290" t="s">
        <v>1851</v>
      </c>
      <c r="D290" t="s">
        <v>357</v>
      </c>
      <c r="E290" t="s">
        <v>1363</v>
      </c>
      <c r="F290" t="s">
        <v>1366</v>
      </c>
      <c r="G290" t="s">
        <v>1367</v>
      </c>
      <c r="H290" t="s">
        <v>1776</v>
      </c>
      <c r="I290" t="s">
        <v>1381</v>
      </c>
      <c r="J290" t="s">
        <v>1370</v>
      </c>
      <c r="K290" t="s">
        <v>1369</v>
      </c>
      <c r="L290" t="s">
        <v>1369</v>
      </c>
      <c r="M290" t="s">
        <v>1369</v>
      </c>
      <c r="N290" t="s">
        <v>328</v>
      </c>
      <c r="O290"/>
      <c r="P290" t="s">
        <v>1871</v>
      </c>
    </row>
    <row r="291">
      <c r="A291" t="s">
        <v>1362</v>
      </c>
      <c r="B291" t="s">
        <v>1872</v>
      </c>
      <c r="C291" t="s">
        <v>1851</v>
      </c>
      <c r="D291" t="s">
        <v>384</v>
      </c>
      <c r="E291" t="s">
        <v>1363</v>
      </c>
      <c r="F291" t="s">
        <v>1366</v>
      </c>
      <c r="G291" t="s">
        <v>1367</v>
      </c>
      <c r="H291" t="s">
        <v>1776</v>
      </c>
      <c r="I291" t="s">
        <v>1381</v>
      </c>
      <c r="J291" t="s">
        <v>177</v>
      </c>
      <c r="K291" t="s">
        <v>1369</v>
      </c>
      <c r="L291" t="s">
        <v>1381</v>
      </c>
      <c r="M291" t="s">
        <v>1369</v>
      </c>
      <c r="N291" t="s">
        <v>334</v>
      </c>
      <c r="O291"/>
      <c r="P291" t="s">
        <v>1873</v>
      </c>
    </row>
    <row r="292">
      <c r="A292" t="s">
        <v>1362</v>
      </c>
      <c r="B292" t="s">
        <v>1874</v>
      </c>
      <c r="C292" t="s">
        <v>1851</v>
      </c>
      <c r="D292" t="s">
        <v>1365</v>
      </c>
      <c r="E292" t="s">
        <v>1405</v>
      </c>
      <c r="F292" t="s">
        <v>1366</v>
      </c>
      <c r="G292" t="s">
        <v>1367</v>
      </c>
      <c r="H292" t="s">
        <v>1377</v>
      </c>
      <c r="I292" t="s">
        <v>1369</v>
      </c>
      <c r="J292" t="s">
        <v>177</v>
      </c>
      <c r="K292" t="s">
        <v>1369</v>
      </c>
      <c r="L292" t="s">
        <v>1369</v>
      </c>
      <c r="M292" t="s">
        <v>1369</v>
      </c>
      <c r="N292" t="s">
        <v>1371</v>
      </c>
      <c r="O292"/>
      <c r="P292" t="s">
        <v>1875</v>
      </c>
    </row>
  </sheetData>
  <autoFilter ref="A1:R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446"/>
  <sheetViews>
    <sheetView zoomScale="85" zoomScaleNormal="85" workbookViewId="0">
      <selection activeCell="H37" sqref="H37"/>
    </sheetView>
  </sheetViews>
  <sheetFormatPr defaultRowHeight="15" x14ac:dyDescent="0.25"/>
  <cols>
    <col min="1" max="1" bestFit="true" customWidth="true" style="49" width="43.28515625" collapsed="true"/>
    <col min="2" max="2" customWidth="true" style="49" width="8.7109375" collapsed="true"/>
    <col min="3" max="3" bestFit="true" customWidth="true" style="49" width="15.5703125" collapsed="true"/>
    <col min="4" max="4" bestFit="true" customWidth="true" style="49" width="6.140625" collapsed="true"/>
    <col min="5" max="5" bestFit="true" customWidth="true" style="49" width="20.85546875" collapsed="true"/>
    <col min="6" max="6" bestFit="true" customWidth="true" style="49" width="13.7109375" collapsed="true"/>
    <col min="7" max="7" bestFit="true" customWidth="true" style="49" width="14.7109375" collapsed="true"/>
    <col min="8" max="8" bestFit="true" customWidth="true" style="49" width="36.140625" collapsed="true"/>
    <col min="9" max="9" bestFit="true" customWidth="true" style="49" width="26.42578125" collapsed="true"/>
    <col min="10" max="10" bestFit="true" customWidth="true" style="49" width="99.28515625" collapsed="true"/>
    <col min="11" max="12" bestFit="true" customWidth="true" style="49" width="14.5703125" collapsed="true"/>
    <col min="13" max="13" bestFit="true" customWidth="true" style="49" width="19.42578125" collapsed="true"/>
    <col min="14" max="14" bestFit="true" customWidth="true" style="49" width="11.5703125" collapsed="true"/>
    <col min="15" max="15" bestFit="true" customWidth="true" style="49" width="19.0" collapsed="true"/>
    <col min="16" max="16" bestFit="true" customWidth="true" style="49" width="66.5703125" collapsed="true"/>
    <col min="17" max="256" style="49" width="9.140625" collapsed="true"/>
    <col min="257" max="257" customWidth="true" style="49" width="40.7109375" collapsed="true"/>
    <col min="258" max="258" customWidth="true" style="49" width="8.7109375" collapsed="true"/>
    <col min="259" max="259" customWidth="true" style="49" width="17.7109375" collapsed="true"/>
    <col min="260" max="260" customWidth="true" style="49" width="6.7109375" collapsed="true"/>
    <col min="261" max="261" customWidth="true" style="49" width="21.7109375" collapsed="true"/>
    <col min="262" max="262" customWidth="true" style="49" width="14.7109375" collapsed="true"/>
    <col min="263" max="263" customWidth="true" style="49" width="16.7109375" collapsed="true"/>
    <col min="264" max="264" customWidth="true" style="49" width="35.7109375" collapsed="true"/>
    <col min="265" max="265" customWidth="true" style="49" width="23.7109375" collapsed="true"/>
    <col min="266" max="266" customWidth="true" style="49" width="103.7109375" collapsed="true"/>
    <col min="267" max="268" customWidth="true" style="49" width="16.7109375" collapsed="true"/>
    <col min="269" max="269" customWidth="true" style="49" width="18.7109375" collapsed="true"/>
    <col min="270" max="270" customWidth="true" style="49" width="10.7109375" collapsed="true"/>
    <col min="271" max="272" customWidth="true" hidden="true" style="49" width="0.0" collapsed="true"/>
    <col min="273" max="512" style="49" width="9.140625" collapsed="true"/>
    <col min="513" max="513" customWidth="true" style="49" width="40.7109375" collapsed="true"/>
    <col min="514" max="514" customWidth="true" style="49" width="8.7109375" collapsed="true"/>
    <col min="515" max="515" customWidth="true" style="49" width="17.7109375" collapsed="true"/>
    <col min="516" max="516" customWidth="true" style="49" width="6.7109375" collapsed="true"/>
    <col min="517" max="517" customWidth="true" style="49" width="21.7109375" collapsed="true"/>
    <col min="518" max="518" customWidth="true" style="49" width="14.7109375" collapsed="true"/>
    <col min="519" max="519" customWidth="true" style="49" width="16.7109375" collapsed="true"/>
    <col min="520" max="520" customWidth="true" style="49" width="35.7109375" collapsed="true"/>
    <col min="521" max="521" customWidth="true" style="49" width="23.7109375" collapsed="true"/>
    <col min="522" max="522" customWidth="true" style="49" width="103.7109375" collapsed="true"/>
    <col min="523" max="524" customWidth="true" style="49" width="16.7109375" collapsed="true"/>
    <col min="525" max="525" customWidth="true" style="49" width="18.7109375" collapsed="true"/>
    <col min="526" max="526" customWidth="true" style="49" width="10.7109375" collapsed="true"/>
    <col min="527" max="528" customWidth="true" hidden="true" style="49" width="0.0" collapsed="true"/>
    <col min="529" max="768" style="49" width="9.140625" collapsed="true"/>
    <col min="769" max="769" customWidth="true" style="49" width="40.7109375" collapsed="true"/>
    <col min="770" max="770" customWidth="true" style="49" width="8.7109375" collapsed="true"/>
    <col min="771" max="771" customWidth="true" style="49" width="17.7109375" collapsed="true"/>
    <col min="772" max="772" customWidth="true" style="49" width="6.7109375" collapsed="true"/>
    <col min="773" max="773" customWidth="true" style="49" width="21.7109375" collapsed="true"/>
    <col min="774" max="774" customWidth="true" style="49" width="14.7109375" collapsed="true"/>
    <col min="775" max="775" customWidth="true" style="49" width="16.7109375" collapsed="true"/>
    <col min="776" max="776" customWidth="true" style="49" width="35.7109375" collapsed="true"/>
    <col min="777" max="777" customWidth="true" style="49" width="23.7109375" collapsed="true"/>
    <col min="778" max="778" customWidth="true" style="49" width="103.7109375" collapsed="true"/>
    <col min="779" max="780" customWidth="true" style="49" width="16.7109375" collapsed="true"/>
    <col min="781" max="781" customWidth="true" style="49" width="18.7109375" collapsed="true"/>
    <col min="782" max="782" customWidth="true" style="49" width="10.7109375" collapsed="true"/>
    <col min="783" max="784" customWidth="true" hidden="true" style="49" width="0.0" collapsed="true"/>
    <col min="785" max="1024" style="49" width="9.140625" collapsed="true"/>
    <col min="1025" max="1025" customWidth="true" style="49" width="40.7109375" collapsed="true"/>
    <col min="1026" max="1026" customWidth="true" style="49" width="8.7109375" collapsed="true"/>
    <col min="1027" max="1027" customWidth="true" style="49" width="17.7109375" collapsed="true"/>
    <col min="1028" max="1028" customWidth="true" style="49" width="6.7109375" collapsed="true"/>
    <col min="1029" max="1029" customWidth="true" style="49" width="21.7109375" collapsed="true"/>
    <col min="1030" max="1030" customWidth="true" style="49" width="14.7109375" collapsed="true"/>
    <col min="1031" max="1031" customWidth="true" style="49" width="16.7109375" collapsed="true"/>
    <col min="1032" max="1032" customWidth="true" style="49" width="35.7109375" collapsed="true"/>
    <col min="1033" max="1033" customWidth="true" style="49" width="23.7109375" collapsed="true"/>
    <col min="1034" max="1034" customWidth="true" style="49" width="103.7109375" collapsed="true"/>
    <col min="1035" max="1036" customWidth="true" style="49" width="16.7109375" collapsed="true"/>
    <col min="1037" max="1037" customWidth="true" style="49" width="18.7109375" collapsed="true"/>
    <col min="1038" max="1038" customWidth="true" style="49" width="10.7109375" collapsed="true"/>
    <col min="1039" max="1040" customWidth="true" hidden="true" style="49" width="0.0" collapsed="true"/>
    <col min="1041" max="1280" style="49" width="9.140625" collapsed="true"/>
    <col min="1281" max="1281" customWidth="true" style="49" width="40.7109375" collapsed="true"/>
    <col min="1282" max="1282" customWidth="true" style="49" width="8.7109375" collapsed="true"/>
    <col min="1283" max="1283" customWidth="true" style="49" width="17.7109375" collapsed="true"/>
    <col min="1284" max="1284" customWidth="true" style="49" width="6.7109375" collapsed="true"/>
    <col min="1285" max="1285" customWidth="true" style="49" width="21.7109375" collapsed="true"/>
    <col min="1286" max="1286" customWidth="true" style="49" width="14.7109375" collapsed="true"/>
    <col min="1287" max="1287" customWidth="true" style="49" width="16.7109375" collapsed="true"/>
    <col min="1288" max="1288" customWidth="true" style="49" width="35.7109375" collapsed="true"/>
    <col min="1289" max="1289" customWidth="true" style="49" width="23.7109375" collapsed="true"/>
    <col min="1290" max="1290" customWidth="true" style="49" width="103.7109375" collapsed="true"/>
    <col min="1291" max="1292" customWidth="true" style="49" width="16.7109375" collapsed="true"/>
    <col min="1293" max="1293" customWidth="true" style="49" width="18.7109375" collapsed="true"/>
    <col min="1294" max="1294" customWidth="true" style="49" width="10.7109375" collapsed="true"/>
    <col min="1295" max="1296" customWidth="true" hidden="true" style="49" width="0.0" collapsed="true"/>
    <col min="1297" max="1536" style="49" width="9.140625" collapsed="true"/>
    <col min="1537" max="1537" customWidth="true" style="49" width="40.7109375" collapsed="true"/>
    <col min="1538" max="1538" customWidth="true" style="49" width="8.7109375" collapsed="true"/>
    <col min="1539" max="1539" customWidth="true" style="49" width="17.7109375" collapsed="true"/>
    <col min="1540" max="1540" customWidth="true" style="49" width="6.7109375" collapsed="true"/>
    <col min="1541" max="1541" customWidth="true" style="49" width="21.7109375" collapsed="true"/>
    <col min="1542" max="1542" customWidth="true" style="49" width="14.7109375" collapsed="true"/>
    <col min="1543" max="1543" customWidth="true" style="49" width="16.7109375" collapsed="true"/>
    <col min="1544" max="1544" customWidth="true" style="49" width="35.7109375" collapsed="true"/>
    <col min="1545" max="1545" customWidth="true" style="49" width="23.7109375" collapsed="true"/>
    <col min="1546" max="1546" customWidth="true" style="49" width="103.7109375" collapsed="true"/>
    <col min="1547" max="1548" customWidth="true" style="49" width="16.7109375" collapsed="true"/>
    <col min="1549" max="1549" customWidth="true" style="49" width="18.7109375" collapsed="true"/>
    <col min="1550" max="1550" customWidth="true" style="49" width="10.7109375" collapsed="true"/>
    <col min="1551" max="1552" customWidth="true" hidden="true" style="49" width="0.0" collapsed="true"/>
    <col min="1553" max="1792" style="49" width="9.140625" collapsed="true"/>
    <col min="1793" max="1793" customWidth="true" style="49" width="40.7109375" collapsed="true"/>
    <col min="1794" max="1794" customWidth="true" style="49" width="8.7109375" collapsed="true"/>
    <col min="1795" max="1795" customWidth="true" style="49" width="17.7109375" collapsed="true"/>
    <col min="1796" max="1796" customWidth="true" style="49" width="6.7109375" collapsed="true"/>
    <col min="1797" max="1797" customWidth="true" style="49" width="21.7109375" collapsed="true"/>
    <col min="1798" max="1798" customWidth="true" style="49" width="14.7109375" collapsed="true"/>
    <col min="1799" max="1799" customWidth="true" style="49" width="16.7109375" collapsed="true"/>
    <col min="1800" max="1800" customWidth="true" style="49" width="35.7109375" collapsed="true"/>
    <col min="1801" max="1801" customWidth="true" style="49" width="23.7109375" collapsed="true"/>
    <col min="1802" max="1802" customWidth="true" style="49" width="103.7109375" collapsed="true"/>
    <col min="1803" max="1804" customWidth="true" style="49" width="16.7109375" collapsed="true"/>
    <col min="1805" max="1805" customWidth="true" style="49" width="18.7109375" collapsed="true"/>
    <col min="1806" max="1806" customWidth="true" style="49" width="10.7109375" collapsed="true"/>
    <col min="1807" max="1808" customWidth="true" hidden="true" style="49" width="0.0" collapsed="true"/>
    <col min="1809" max="2048" style="49" width="9.140625" collapsed="true"/>
    <col min="2049" max="2049" customWidth="true" style="49" width="40.7109375" collapsed="true"/>
    <col min="2050" max="2050" customWidth="true" style="49" width="8.7109375" collapsed="true"/>
    <col min="2051" max="2051" customWidth="true" style="49" width="17.7109375" collapsed="true"/>
    <col min="2052" max="2052" customWidth="true" style="49" width="6.7109375" collapsed="true"/>
    <col min="2053" max="2053" customWidth="true" style="49" width="21.7109375" collapsed="true"/>
    <col min="2054" max="2054" customWidth="true" style="49" width="14.7109375" collapsed="true"/>
    <col min="2055" max="2055" customWidth="true" style="49" width="16.7109375" collapsed="true"/>
    <col min="2056" max="2056" customWidth="true" style="49" width="35.7109375" collapsed="true"/>
    <col min="2057" max="2057" customWidth="true" style="49" width="23.7109375" collapsed="true"/>
    <col min="2058" max="2058" customWidth="true" style="49" width="103.7109375" collapsed="true"/>
    <col min="2059" max="2060" customWidth="true" style="49" width="16.7109375" collapsed="true"/>
    <col min="2061" max="2061" customWidth="true" style="49" width="18.7109375" collapsed="true"/>
    <col min="2062" max="2062" customWidth="true" style="49" width="10.7109375" collapsed="true"/>
    <col min="2063" max="2064" customWidth="true" hidden="true" style="49" width="0.0" collapsed="true"/>
    <col min="2065" max="2304" style="49" width="9.140625" collapsed="true"/>
    <col min="2305" max="2305" customWidth="true" style="49" width="40.7109375" collapsed="true"/>
    <col min="2306" max="2306" customWidth="true" style="49" width="8.7109375" collapsed="true"/>
    <col min="2307" max="2307" customWidth="true" style="49" width="17.7109375" collapsed="true"/>
    <col min="2308" max="2308" customWidth="true" style="49" width="6.7109375" collapsed="true"/>
    <col min="2309" max="2309" customWidth="true" style="49" width="21.7109375" collapsed="true"/>
    <col min="2310" max="2310" customWidth="true" style="49" width="14.7109375" collapsed="true"/>
    <col min="2311" max="2311" customWidth="true" style="49" width="16.7109375" collapsed="true"/>
    <col min="2312" max="2312" customWidth="true" style="49" width="35.7109375" collapsed="true"/>
    <col min="2313" max="2313" customWidth="true" style="49" width="23.7109375" collapsed="true"/>
    <col min="2314" max="2314" customWidth="true" style="49" width="103.7109375" collapsed="true"/>
    <col min="2315" max="2316" customWidth="true" style="49" width="16.7109375" collapsed="true"/>
    <col min="2317" max="2317" customWidth="true" style="49" width="18.7109375" collapsed="true"/>
    <col min="2318" max="2318" customWidth="true" style="49" width="10.7109375" collapsed="true"/>
    <col min="2319" max="2320" customWidth="true" hidden="true" style="49" width="0.0" collapsed="true"/>
    <col min="2321" max="2560" style="49" width="9.140625" collapsed="true"/>
    <col min="2561" max="2561" customWidth="true" style="49" width="40.7109375" collapsed="true"/>
    <col min="2562" max="2562" customWidth="true" style="49" width="8.7109375" collapsed="true"/>
    <col min="2563" max="2563" customWidth="true" style="49" width="17.7109375" collapsed="true"/>
    <col min="2564" max="2564" customWidth="true" style="49" width="6.7109375" collapsed="true"/>
    <col min="2565" max="2565" customWidth="true" style="49" width="21.7109375" collapsed="true"/>
    <col min="2566" max="2566" customWidth="true" style="49" width="14.7109375" collapsed="true"/>
    <col min="2567" max="2567" customWidth="true" style="49" width="16.7109375" collapsed="true"/>
    <col min="2568" max="2568" customWidth="true" style="49" width="35.7109375" collapsed="true"/>
    <col min="2569" max="2569" customWidth="true" style="49" width="23.7109375" collapsed="true"/>
    <col min="2570" max="2570" customWidth="true" style="49" width="103.7109375" collapsed="true"/>
    <col min="2571" max="2572" customWidth="true" style="49" width="16.7109375" collapsed="true"/>
    <col min="2573" max="2573" customWidth="true" style="49" width="18.7109375" collapsed="true"/>
    <col min="2574" max="2574" customWidth="true" style="49" width="10.7109375" collapsed="true"/>
    <col min="2575" max="2576" customWidth="true" hidden="true" style="49" width="0.0" collapsed="true"/>
    <col min="2577" max="2816" style="49" width="9.140625" collapsed="true"/>
    <col min="2817" max="2817" customWidth="true" style="49" width="40.7109375" collapsed="true"/>
    <col min="2818" max="2818" customWidth="true" style="49" width="8.7109375" collapsed="true"/>
    <col min="2819" max="2819" customWidth="true" style="49" width="17.7109375" collapsed="true"/>
    <col min="2820" max="2820" customWidth="true" style="49" width="6.7109375" collapsed="true"/>
    <col min="2821" max="2821" customWidth="true" style="49" width="21.7109375" collapsed="true"/>
    <col min="2822" max="2822" customWidth="true" style="49" width="14.7109375" collapsed="true"/>
    <col min="2823" max="2823" customWidth="true" style="49" width="16.7109375" collapsed="true"/>
    <col min="2824" max="2824" customWidth="true" style="49" width="35.7109375" collapsed="true"/>
    <col min="2825" max="2825" customWidth="true" style="49" width="23.7109375" collapsed="true"/>
    <col min="2826" max="2826" customWidth="true" style="49" width="103.7109375" collapsed="true"/>
    <col min="2827" max="2828" customWidth="true" style="49" width="16.7109375" collapsed="true"/>
    <col min="2829" max="2829" customWidth="true" style="49" width="18.7109375" collapsed="true"/>
    <col min="2830" max="2830" customWidth="true" style="49" width="10.7109375" collapsed="true"/>
    <col min="2831" max="2832" customWidth="true" hidden="true" style="49" width="0.0" collapsed="true"/>
    <col min="2833" max="3072" style="49" width="9.140625" collapsed="true"/>
    <col min="3073" max="3073" customWidth="true" style="49" width="40.7109375" collapsed="true"/>
    <col min="3074" max="3074" customWidth="true" style="49" width="8.7109375" collapsed="true"/>
    <col min="3075" max="3075" customWidth="true" style="49" width="17.7109375" collapsed="true"/>
    <col min="3076" max="3076" customWidth="true" style="49" width="6.7109375" collapsed="true"/>
    <col min="3077" max="3077" customWidth="true" style="49" width="21.7109375" collapsed="true"/>
    <col min="3078" max="3078" customWidth="true" style="49" width="14.7109375" collapsed="true"/>
    <col min="3079" max="3079" customWidth="true" style="49" width="16.7109375" collapsed="true"/>
    <col min="3080" max="3080" customWidth="true" style="49" width="35.7109375" collapsed="true"/>
    <col min="3081" max="3081" customWidth="true" style="49" width="23.7109375" collapsed="true"/>
    <col min="3082" max="3082" customWidth="true" style="49" width="103.7109375" collapsed="true"/>
    <col min="3083" max="3084" customWidth="true" style="49" width="16.7109375" collapsed="true"/>
    <col min="3085" max="3085" customWidth="true" style="49" width="18.7109375" collapsed="true"/>
    <col min="3086" max="3086" customWidth="true" style="49" width="10.7109375" collapsed="true"/>
    <col min="3087" max="3088" customWidth="true" hidden="true" style="49" width="0.0" collapsed="true"/>
    <col min="3089" max="3328" style="49" width="9.140625" collapsed="true"/>
    <col min="3329" max="3329" customWidth="true" style="49" width="40.7109375" collapsed="true"/>
    <col min="3330" max="3330" customWidth="true" style="49" width="8.7109375" collapsed="true"/>
    <col min="3331" max="3331" customWidth="true" style="49" width="17.7109375" collapsed="true"/>
    <col min="3332" max="3332" customWidth="true" style="49" width="6.7109375" collapsed="true"/>
    <col min="3333" max="3333" customWidth="true" style="49" width="21.7109375" collapsed="true"/>
    <col min="3334" max="3334" customWidth="true" style="49" width="14.7109375" collapsed="true"/>
    <col min="3335" max="3335" customWidth="true" style="49" width="16.7109375" collapsed="true"/>
    <col min="3336" max="3336" customWidth="true" style="49" width="35.7109375" collapsed="true"/>
    <col min="3337" max="3337" customWidth="true" style="49" width="23.7109375" collapsed="true"/>
    <col min="3338" max="3338" customWidth="true" style="49" width="103.7109375" collapsed="true"/>
    <col min="3339" max="3340" customWidth="true" style="49" width="16.7109375" collapsed="true"/>
    <col min="3341" max="3341" customWidth="true" style="49" width="18.7109375" collapsed="true"/>
    <col min="3342" max="3342" customWidth="true" style="49" width="10.7109375" collapsed="true"/>
    <col min="3343" max="3344" customWidth="true" hidden="true" style="49" width="0.0" collapsed="true"/>
    <col min="3345" max="3584" style="49" width="9.140625" collapsed="true"/>
    <col min="3585" max="3585" customWidth="true" style="49" width="40.7109375" collapsed="true"/>
    <col min="3586" max="3586" customWidth="true" style="49" width="8.7109375" collapsed="true"/>
    <col min="3587" max="3587" customWidth="true" style="49" width="17.7109375" collapsed="true"/>
    <col min="3588" max="3588" customWidth="true" style="49" width="6.7109375" collapsed="true"/>
    <col min="3589" max="3589" customWidth="true" style="49" width="21.7109375" collapsed="true"/>
    <col min="3590" max="3590" customWidth="true" style="49" width="14.7109375" collapsed="true"/>
    <col min="3591" max="3591" customWidth="true" style="49" width="16.7109375" collapsed="true"/>
    <col min="3592" max="3592" customWidth="true" style="49" width="35.7109375" collapsed="true"/>
    <col min="3593" max="3593" customWidth="true" style="49" width="23.7109375" collapsed="true"/>
    <col min="3594" max="3594" customWidth="true" style="49" width="103.7109375" collapsed="true"/>
    <col min="3595" max="3596" customWidth="true" style="49" width="16.7109375" collapsed="true"/>
    <col min="3597" max="3597" customWidth="true" style="49" width="18.7109375" collapsed="true"/>
    <col min="3598" max="3598" customWidth="true" style="49" width="10.7109375" collapsed="true"/>
    <col min="3599" max="3600" customWidth="true" hidden="true" style="49" width="0.0" collapsed="true"/>
    <col min="3601" max="3840" style="49" width="9.140625" collapsed="true"/>
    <col min="3841" max="3841" customWidth="true" style="49" width="40.7109375" collapsed="true"/>
    <col min="3842" max="3842" customWidth="true" style="49" width="8.7109375" collapsed="true"/>
    <col min="3843" max="3843" customWidth="true" style="49" width="17.7109375" collapsed="true"/>
    <col min="3844" max="3844" customWidth="true" style="49" width="6.7109375" collapsed="true"/>
    <col min="3845" max="3845" customWidth="true" style="49" width="21.7109375" collapsed="true"/>
    <col min="3846" max="3846" customWidth="true" style="49" width="14.7109375" collapsed="true"/>
    <col min="3847" max="3847" customWidth="true" style="49" width="16.7109375" collapsed="true"/>
    <col min="3848" max="3848" customWidth="true" style="49" width="35.7109375" collapsed="true"/>
    <col min="3849" max="3849" customWidth="true" style="49" width="23.7109375" collapsed="true"/>
    <col min="3850" max="3850" customWidth="true" style="49" width="103.7109375" collapsed="true"/>
    <col min="3851" max="3852" customWidth="true" style="49" width="16.7109375" collapsed="true"/>
    <col min="3853" max="3853" customWidth="true" style="49" width="18.7109375" collapsed="true"/>
    <col min="3854" max="3854" customWidth="true" style="49" width="10.7109375" collapsed="true"/>
    <col min="3855" max="3856" customWidth="true" hidden="true" style="49" width="0.0" collapsed="true"/>
    <col min="3857" max="4096" style="49" width="9.140625" collapsed="true"/>
    <col min="4097" max="4097" customWidth="true" style="49" width="40.7109375" collapsed="true"/>
    <col min="4098" max="4098" customWidth="true" style="49" width="8.7109375" collapsed="true"/>
    <col min="4099" max="4099" customWidth="true" style="49" width="17.7109375" collapsed="true"/>
    <col min="4100" max="4100" customWidth="true" style="49" width="6.7109375" collapsed="true"/>
    <col min="4101" max="4101" customWidth="true" style="49" width="21.7109375" collapsed="true"/>
    <col min="4102" max="4102" customWidth="true" style="49" width="14.7109375" collapsed="true"/>
    <col min="4103" max="4103" customWidth="true" style="49" width="16.7109375" collapsed="true"/>
    <col min="4104" max="4104" customWidth="true" style="49" width="35.7109375" collapsed="true"/>
    <col min="4105" max="4105" customWidth="true" style="49" width="23.7109375" collapsed="true"/>
    <col min="4106" max="4106" customWidth="true" style="49" width="103.7109375" collapsed="true"/>
    <col min="4107" max="4108" customWidth="true" style="49" width="16.7109375" collapsed="true"/>
    <col min="4109" max="4109" customWidth="true" style="49" width="18.7109375" collapsed="true"/>
    <col min="4110" max="4110" customWidth="true" style="49" width="10.7109375" collapsed="true"/>
    <col min="4111" max="4112" customWidth="true" hidden="true" style="49" width="0.0" collapsed="true"/>
    <col min="4113" max="4352" style="49" width="9.140625" collapsed="true"/>
    <col min="4353" max="4353" customWidth="true" style="49" width="40.7109375" collapsed="true"/>
    <col min="4354" max="4354" customWidth="true" style="49" width="8.7109375" collapsed="true"/>
    <col min="4355" max="4355" customWidth="true" style="49" width="17.7109375" collapsed="true"/>
    <col min="4356" max="4356" customWidth="true" style="49" width="6.7109375" collapsed="true"/>
    <col min="4357" max="4357" customWidth="true" style="49" width="21.7109375" collapsed="true"/>
    <col min="4358" max="4358" customWidth="true" style="49" width="14.7109375" collapsed="true"/>
    <col min="4359" max="4359" customWidth="true" style="49" width="16.7109375" collapsed="true"/>
    <col min="4360" max="4360" customWidth="true" style="49" width="35.7109375" collapsed="true"/>
    <col min="4361" max="4361" customWidth="true" style="49" width="23.7109375" collapsed="true"/>
    <col min="4362" max="4362" customWidth="true" style="49" width="103.7109375" collapsed="true"/>
    <col min="4363" max="4364" customWidth="true" style="49" width="16.7109375" collapsed="true"/>
    <col min="4365" max="4365" customWidth="true" style="49" width="18.7109375" collapsed="true"/>
    <col min="4366" max="4366" customWidth="true" style="49" width="10.7109375" collapsed="true"/>
    <col min="4367" max="4368" customWidth="true" hidden="true" style="49" width="0.0" collapsed="true"/>
    <col min="4369" max="4608" style="49" width="9.140625" collapsed="true"/>
    <col min="4609" max="4609" customWidth="true" style="49" width="40.7109375" collapsed="true"/>
    <col min="4610" max="4610" customWidth="true" style="49" width="8.7109375" collapsed="true"/>
    <col min="4611" max="4611" customWidth="true" style="49" width="17.7109375" collapsed="true"/>
    <col min="4612" max="4612" customWidth="true" style="49" width="6.7109375" collapsed="true"/>
    <col min="4613" max="4613" customWidth="true" style="49" width="21.7109375" collapsed="true"/>
    <col min="4614" max="4614" customWidth="true" style="49" width="14.7109375" collapsed="true"/>
    <col min="4615" max="4615" customWidth="true" style="49" width="16.7109375" collapsed="true"/>
    <col min="4616" max="4616" customWidth="true" style="49" width="35.7109375" collapsed="true"/>
    <col min="4617" max="4617" customWidth="true" style="49" width="23.7109375" collapsed="true"/>
    <col min="4618" max="4618" customWidth="true" style="49" width="103.7109375" collapsed="true"/>
    <col min="4619" max="4620" customWidth="true" style="49" width="16.7109375" collapsed="true"/>
    <col min="4621" max="4621" customWidth="true" style="49" width="18.7109375" collapsed="true"/>
    <col min="4622" max="4622" customWidth="true" style="49" width="10.7109375" collapsed="true"/>
    <col min="4623" max="4624" customWidth="true" hidden="true" style="49" width="0.0" collapsed="true"/>
    <col min="4625" max="4864" style="49" width="9.140625" collapsed="true"/>
    <col min="4865" max="4865" customWidth="true" style="49" width="40.7109375" collapsed="true"/>
    <col min="4866" max="4866" customWidth="true" style="49" width="8.7109375" collapsed="true"/>
    <col min="4867" max="4867" customWidth="true" style="49" width="17.7109375" collapsed="true"/>
    <col min="4868" max="4868" customWidth="true" style="49" width="6.7109375" collapsed="true"/>
    <col min="4869" max="4869" customWidth="true" style="49" width="21.7109375" collapsed="true"/>
    <col min="4870" max="4870" customWidth="true" style="49" width="14.7109375" collapsed="true"/>
    <col min="4871" max="4871" customWidth="true" style="49" width="16.7109375" collapsed="true"/>
    <col min="4872" max="4872" customWidth="true" style="49" width="35.7109375" collapsed="true"/>
    <col min="4873" max="4873" customWidth="true" style="49" width="23.7109375" collapsed="true"/>
    <col min="4874" max="4874" customWidth="true" style="49" width="103.7109375" collapsed="true"/>
    <col min="4875" max="4876" customWidth="true" style="49" width="16.7109375" collapsed="true"/>
    <col min="4877" max="4877" customWidth="true" style="49" width="18.7109375" collapsed="true"/>
    <col min="4878" max="4878" customWidth="true" style="49" width="10.7109375" collapsed="true"/>
    <col min="4879" max="4880" customWidth="true" hidden="true" style="49" width="0.0" collapsed="true"/>
    <col min="4881" max="5120" style="49" width="9.140625" collapsed="true"/>
    <col min="5121" max="5121" customWidth="true" style="49" width="40.7109375" collapsed="true"/>
    <col min="5122" max="5122" customWidth="true" style="49" width="8.7109375" collapsed="true"/>
    <col min="5123" max="5123" customWidth="true" style="49" width="17.7109375" collapsed="true"/>
    <col min="5124" max="5124" customWidth="true" style="49" width="6.7109375" collapsed="true"/>
    <col min="5125" max="5125" customWidth="true" style="49" width="21.7109375" collapsed="true"/>
    <col min="5126" max="5126" customWidth="true" style="49" width="14.7109375" collapsed="true"/>
    <col min="5127" max="5127" customWidth="true" style="49" width="16.7109375" collapsed="true"/>
    <col min="5128" max="5128" customWidth="true" style="49" width="35.7109375" collapsed="true"/>
    <col min="5129" max="5129" customWidth="true" style="49" width="23.7109375" collapsed="true"/>
    <col min="5130" max="5130" customWidth="true" style="49" width="103.7109375" collapsed="true"/>
    <col min="5131" max="5132" customWidth="true" style="49" width="16.7109375" collapsed="true"/>
    <col min="5133" max="5133" customWidth="true" style="49" width="18.7109375" collapsed="true"/>
    <col min="5134" max="5134" customWidth="true" style="49" width="10.7109375" collapsed="true"/>
    <col min="5135" max="5136" customWidth="true" hidden="true" style="49" width="0.0" collapsed="true"/>
    <col min="5137" max="5376" style="49" width="9.140625" collapsed="true"/>
    <col min="5377" max="5377" customWidth="true" style="49" width="40.7109375" collapsed="true"/>
    <col min="5378" max="5378" customWidth="true" style="49" width="8.7109375" collapsed="true"/>
    <col min="5379" max="5379" customWidth="true" style="49" width="17.7109375" collapsed="true"/>
    <col min="5380" max="5380" customWidth="true" style="49" width="6.7109375" collapsed="true"/>
    <col min="5381" max="5381" customWidth="true" style="49" width="21.7109375" collapsed="true"/>
    <col min="5382" max="5382" customWidth="true" style="49" width="14.7109375" collapsed="true"/>
    <col min="5383" max="5383" customWidth="true" style="49" width="16.7109375" collapsed="true"/>
    <col min="5384" max="5384" customWidth="true" style="49" width="35.7109375" collapsed="true"/>
    <col min="5385" max="5385" customWidth="true" style="49" width="23.7109375" collapsed="true"/>
    <col min="5386" max="5386" customWidth="true" style="49" width="103.7109375" collapsed="true"/>
    <col min="5387" max="5388" customWidth="true" style="49" width="16.7109375" collapsed="true"/>
    <col min="5389" max="5389" customWidth="true" style="49" width="18.7109375" collapsed="true"/>
    <col min="5390" max="5390" customWidth="true" style="49" width="10.7109375" collapsed="true"/>
    <col min="5391" max="5392" customWidth="true" hidden="true" style="49" width="0.0" collapsed="true"/>
    <col min="5393" max="5632" style="49" width="9.140625" collapsed="true"/>
    <col min="5633" max="5633" customWidth="true" style="49" width="40.7109375" collapsed="true"/>
    <col min="5634" max="5634" customWidth="true" style="49" width="8.7109375" collapsed="true"/>
    <col min="5635" max="5635" customWidth="true" style="49" width="17.7109375" collapsed="true"/>
    <col min="5636" max="5636" customWidth="true" style="49" width="6.7109375" collapsed="true"/>
    <col min="5637" max="5637" customWidth="true" style="49" width="21.7109375" collapsed="true"/>
    <col min="5638" max="5638" customWidth="true" style="49" width="14.7109375" collapsed="true"/>
    <col min="5639" max="5639" customWidth="true" style="49" width="16.7109375" collapsed="true"/>
    <col min="5640" max="5640" customWidth="true" style="49" width="35.7109375" collapsed="true"/>
    <col min="5641" max="5641" customWidth="true" style="49" width="23.7109375" collapsed="true"/>
    <col min="5642" max="5642" customWidth="true" style="49" width="103.7109375" collapsed="true"/>
    <col min="5643" max="5644" customWidth="true" style="49" width="16.7109375" collapsed="true"/>
    <col min="5645" max="5645" customWidth="true" style="49" width="18.7109375" collapsed="true"/>
    <col min="5646" max="5646" customWidth="true" style="49" width="10.7109375" collapsed="true"/>
    <col min="5647" max="5648" customWidth="true" hidden="true" style="49" width="0.0" collapsed="true"/>
    <col min="5649" max="5888" style="49" width="9.140625" collapsed="true"/>
    <col min="5889" max="5889" customWidth="true" style="49" width="40.7109375" collapsed="true"/>
    <col min="5890" max="5890" customWidth="true" style="49" width="8.7109375" collapsed="true"/>
    <col min="5891" max="5891" customWidth="true" style="49" width="17.7109375" collapsed="true"/>
    <col min="5892" max="5892" customWidth="true" style="49" width="6.7109375" collapsed="true"/>
    <col min="5893" max="5893" customWidth="true" style="49" width="21.7109375" collapsed="true"/>
    <col min="5894" max="5894" customWidth="true" style="49" width="14.7109375" collapsed="true"/>
    <col min="5895" max="5895" customWidth="true" style="49" width="16.7109375" collapsed="true"/>
    <col min="5896" max="5896" customWidth="true" style="49" width="35.7109375" collapsed="true"/>
    <col min="5897" max="5897" customWidth="true" style="49" width="23.7109375" collapsed="true"/>
    <col min="5898" max="5898" customWidth="true" style="49" width="103.7109375" collapsed="true"/>
    <col min="5899" max="5900" customWidth="true" style="49" width="16.7109375" collapsed="true"/>
    <col min="5901" max="5901" customWidth="true" style="49" width="18.7109375" collapsed="true"/>
    <col min="5902" max="5902" customWidth="true" style="49" width="10.7109375" collapsed="true"/>
    <col min="5903" max="5904" customWidth="true" hidden="true" style="49" width="0.0" collapsed="true"/>
    <col min="5905" max="6144" style="49" width="9.140625" collapsed="true"/>
    <col min="6145" max="6145" customWidth="true" style="49" width="40.7109375" collapsed="true"/>
    <col min="6146" max="6146" customWidth="true" style="49" width="8.7109375" collapsed="true"/>
    <col min="6147" max="6147" customWidth="true" style="49" width="17.7109375" collapsed="true"/>
    <col min="6148" max="6148" customWidth="true" style="49" width="6.7109375" collapsed="true"/>
    <col min="6149" max="6149" customWidth="true" style="49" width="21.7109375" collapsed="true"/>
    <col min="6150" max="6150" customWidth="true" style="49" width="14.7109375" collapsed="true"/>
    <col min="6151" max="6151" customWidth="true" style="49" width="16.7109375" collapsed="true"/>
    <col min="6152" max="6152" customWidth="true" style="49" width="35.7109375" collapsed="true"/>
    <col min="6153" max="6153" customWidth="true" style="49" width="23.7109375" collapsed="true"/>
    <col min="6154" max="6154" customWidth="true" style="49" width="103.7109375" collapsed="true"/>
    <col min="6155" max="6156" customWidth="true" style="49" width="16.7109375" collapsed="true"/>
    <col min="6157" max="6157" customWidth="true" style="49" width="18.7109375" collapsed="true"/>
    <col min="6158" max="6158" customWidth="true" style="49" width="10.7109375" collapsed="true"/>
    <col min="6159" max="6160" customWidth="true" hidden="true" style="49" width="0.0" collapsed="true"/>
    <col min="6161" max="6400" style="49" width="9.140625" collapsed="true"/>
    <col min="6401" max="6401" customWidth="true" style="49" width="40.7109375" collapsed="true"/>
    <col min="6402" max="6402" customWidth="true" style="49" width="8.7109375" collapsed="true"/>
    <col min="6403" max="6403" customWidth="true" style="49" width="17.7109375" collapsed="true"/>
    <col min="6404" max="6404" customWidth="true" style="49" width="6.7109375" collapsed="true"/>
    <col min="6405" max="6405" customWidth="true" style="49" width="21.7109375" collapsed="true"/>
    <col min="6406" max="6406" customWidth="true" style="49" width="14.7109375" collapsed="true"/>
    <col min="6407" max="6407" customWidth="true" style="49" width="16.7109375" collapsed="true"/>
    <col min="6408" max="6408" customWidth="true" style="49" width="35.7109375" collapsed="true"/>
    <col min="6409" max="6409" customWidth="true" style="49" width="23.7109375" collapsed="true"/>
    <col min="6410" max="6410" customWidth="true" style="49" width="103.7109375" collapsed="true"/>
    <col min="6411" max="6412" customWidth="true" style="49" width="16.7109375" collapsed="true"/>
    <col min="6413" max="6413" customWidth="true" style="49" width="18.7109375" collapsed="true"/>
    <col min="6414" max="6414" customWidth="true" style="49" width="10.7109375" collapsed="true"/>
    <col min="6415" max="6416" customWidth="true" hidden="true" style="49" width="0.0" collapsed="true"/>
    <col min="6417" max="6656" style="49" width="9.140625" collapsed="true"/>
    <col min="6657" max="6657" customWidth="true" style="49" width="40.7109375" collapsed="true"/>
    <col min="6658" max="6658" customWidth="true" style="49" width="8.7109375" collapsed="true"/>
    <col min="6659" max="6659" customWidth="true" style="49" width="17.7109375" collapsed="true"/>
    <col min="6660" max="6660" customWidth="true" style="49" width="6.7109375" collapsed="true"/>
    <col min="6661" max="6661" customWidth="true" style="49" width="21.7109375" collapsed="true"/>
    <col min="6662" max="6662" customWidth="true" style="49" width="14.7109375" collapsed="true"/>
    <col min="6663" max="6663" customWidth="true" style="49" width="16.7109375" collapsed="true"/>
    <col min="6664" max="6664" customWidth="true" style="49" width="35.7109375" collapsed="true"/>
    <col min="6665" max="6665" customWidth="true" style="49" width="23.7109375" collapsed="true"/>
    <col min="6666" max="6666" customWidth="true" style="49" width="103.7109375" collapsed="true"/>
    <col min="6667" max="6668" customWidth="true" style="49" width="16.7109375" collapsed="true"/>
    <col min="6669" max="6669" customWidth="true" style="49" width="18.7109375" collapsed="true"/>
    <col min="6670" max="6670" customWidth="true" style="49" width="10.7109375" collapsed="true"/>
    <col min="6671" max="6672" customWidth="true" hidden="true" style="49" width="0.0" collapsed="true"/>
    <col min="6673" max="6912" style="49" width="9.140625" collapsed="true"/>
    <col min="6913" max="6913" customWidth="true" style="49" width="40.7109375" collapsed="true"/>
    <col min="6914" max="6914" customWidth="true" style="49" width="8.7109375" collapsed="true"/>
    <col min="6915" max="6915" customWidth="true" style="49" width="17.7109375" collapsed="true"/>
    <col min="6916" max="6916" customWidth="true" style="49" width="6.7109375" collapsed="true"/>
    <col min="6917" max="6917" customWidth="true" style="49" width="21.7109375" collapsed="true"/>
    <col min="6918" max="6918" customWidth="true" style="49" width="14.7109375" collapsed="true"/>
    <col min="6919" max="6919" customWidth="true" style="49" width="16.7109375" collapsed="true"/>
    <col min="6920" max="6920" customWidth="true" style="49" width="35.7109375" collapsed="true"/>
    <col min="6921" max="6921" customWidth="true" style="49" width="23.7109375" collapsed="true"/>
    <col min="6922" max="6922" customWidth="true" style="49" width="103.7109375" collapsed="true"/>
    <col min="6923" max="6924" customWidth="true" style="49" width="16.7109375" collapsed="true"/>
    <col min="6925" max="6925" customWidth="true" style="49" width="18.7109375" collapsed="true"/>
    <col min="6926" max="6926" customWidth="true" style="49" width="10.7109375" collapsed="true"/>
    <col min="6927" max="6928" customWidth="true" hidden="true" style="49" width="0.0" collapsed="true"/>
    <col min="6929" max="7168" style="49" width="9.140625" collapsed="true"/>
    <col min="7169" max="7169" customWidth="true" style="49" width="40.7109375" collapsed="true"/>
    <col min="7170" max="7170" customWidth="true" style="49" width="8.7109375" collapsed="true"/>
    <col min="7171" max="7171" customWidth="true" style="49" width="17.7109375" collapsed="true"/>
    <col min="7172" max="7172" customWidth="true" style="49" width="6.7109375" collapsed="true"/>
    <col min="7173" max="7173" customWidth="true" style="49" width="21.7109375" collapsed="true"/>
    <col min="7174" max="7174" customWidth="true" style="49" width="14.7109375" collapsed="true"/>
    <col min="7175" max="7175" customWidth="true" style="49" width="16.7109375" collapsed="true"/>
    <col min="7176" max="7176" customWidth="true" style="49" width="35.7109375" collapsed="true"/>
    <col min="7177" max="7177" customWidth="true" style="49" width="23.7109375" collapsed="true"/>
    <col min="7178" max="7178" customWidth="true" style="49" width="103.7109375" collapsed="true"/>
    <col min="7179" max="7180" customWidth="true" style="49" width="16.7109375" collapsed="true"/>
    <col min="7181" max="7181" customWidth="true" style="49" width="18.7109375" collapsed="true"/>
    <col min="7182" max="7182" customWidth="true" style="49" width="10.7109375" collapsed="true"/>
    <col min="7183" max="7184" customWidth="true" hidden="true" style="49" width="0.0" collapsed="true"/>
    <col min="7185" max="7424" style="49" width="9.140625" collapsed="true"/>
    <col min="7425" max="7425" customWidth="true" style="49" width="40.7109375" collapsed="true"/>
    <col min="7426" max="7426" customWidth="true" style="49" width="8.7109375" collapsed="true"/>
    <col min="7427" max="7427" customWidth="true" style="49" width="17.7109375" collapsed="true"/>
    <col min="7428" max="7428" customWidth="true" style="49" width="6.7109375" collapsed="true"/>
    <col min="7429" max="7429" customWidth="true" style="49" width="21.7109375" collapsed="true"/>
    <col min="7430" max="7430" customWidth="true" style="49" width="14.7109375" collapsed="true"/>
    <col min="7431" max="7431" customWidth="true" style="49" width="16.7109375" collapsed="true"/>
    <col min="7432" max="7432" customWidth="true" style="49" width="35.7109375" collapsed="true"/>
    <col min="7433" max="7433" customWidth="true" style="49" width="23.7109375" collapsed="true"/>
    <col min="7434" max="7434" customWidth="true" style="49" width="103.7109375" collapsed="true"/>
    <col min="7435" max="7436" customWidth="true" style="49" width="16.7109375" collapsed="true"/>
    <col min="7437" max="7437" customWidth="true" style="49" width="18.7109375" collapsed="true"/>
    <col min="7438" max="7438" customWidth="true" style="49" width="10.7109375" collapsed="true"/>
    <col min="7439" max="7440" customWidth="true" hidden="true" style="49" width="0.0" collapsed="true"/>
    <col min="7441" max="7680" style="49" width="9.140625" collapsed="true"/>
    <col min="7681" max="7681" customWidth="true" style="49" width="40.7109375" collapsed="true"/>
    <col min="7682" max="7682" customWidth="true" style="49" width="8.7109375" collapsed="true"/>
    <col min="7683" max="7683" customWidth="true" style="49" width="17.7109375" collapsed="true"/>
    <col min="7684" max="7684" customWidth="true" style="49" width="6.7109375" collapsed="true"/>
    <col min="7685" max="7685" customWidth="true" style="49" width="21.7109375" collapsed="true"/>
    <col min="7686" max="7686" customWidth="true" style="49" width="14.7109375" collapsed="true"/>
    <col min="7687" max="7687" customWidth="true" style="49" width="16.7109375" collapsed="true"/>
    <col min="7688" max="7688" customWidth="true" style="49" width="35.7109375" collapsed="true"/>
    <col min="7689" max="7689" customWidth="true" style="49" width="23.7109375" collapsed="true"/>
    <col min="7690" max="7690" customWidth="true" style="49" width="103.7109375" collapsed="true"/>
    <col min="7691" max="7692" customWidth="true" style="49" width="16.7109375" collapsed="true"/>
    <col min="7693" max="7693" customWidth="true" style="49" width="18.7109375" collapsed="true"/>
    <col min="7694" max="7694" customWidth="true" style="49" width="10.7109375" collapsed="true"/>
    <col min="7695" max="7696" customWidth="true" hidden="true" style="49" width="0.0" collapsed="true"/>
    <col min="7697" max="7936" style="49" width="9.140625" collapsed="true"/>
    <col min="7937" max="7937" customWidth="true" style="49" width="40.7109375" collapsed="true"/>
    <col min="7938" max="7938" customWidth="true" style="49" width="8.7109375" collapsed="true"/>
    <col min="7939" max="7939" customWidth="true" style="49" width="17.7109375" collapsed="true"/>
    <col min="7940" max="7940" customWidth="true" style="49" width="6.7109375" collapsed="true"/>
    <col min="7941" max="7941" customWidth="true" style="49" width="21.7109375" collapsed="true"/>
    <col min="7942" max="7942" customWidth="true" style="49" width="14.7109375" collapsed="true"/>
    <col min="7943" max="7943" customWidth="true" style="49" width="16.7109375" collapsed="true"/>
    <col min="7944" max="7944" customWidth="true" style="49" width="35.7109375" collapsed="true"/>
    <col min="7945" max="7945" customWidth="true" style="49" width="23.7109375" collapsed="true"/>
    <col min="7946" max="7946" customWidth="true" style="49" width="103.7109375" collapsed="true"/>
    <col min="7947" max="7948" customWidth="true" style="49" width="16.7109375" collapsed="true"/>
    <col min="7949" max="7949" customWidth="true" style="49" width="18.7109375" collapsed="true"/>
    <col min="7950" max="7950" customWidth="true" style="49" width="10.7109375" collapsed="true"/>
    <col min="7951" max="7952" customWidth="true" hidden="true" style="49" width="0.0" collapsed="true"/>
    <col min="7953" max="8192" style="49" width="9.140625" collapsed="true"/>
    <col min="8193" max="8193" customWidth="true" style="49" width="40.7109375" collapsed="true"/>
    <col min="8194" max="8194" customWidth="true" style="49" width="8.7109375" collapsed="true"/>
    <col min="8195" max="8195" customWidth="true" style="49" width="17.7109375" collapsed="true"/>
    <col min="8196" max="8196" customWidth="true" style="49" width="6.7109375" collapsed="true"/>
    <col min="8197" max="8197" customWidth="true" style="49" width="21.7109375" collapsed="true"/>
    <col min="8198" max="8198" customWidth="true" style="49" width="14.7109375" collapsed="true"/>
    <col min="8199" max="8199" customWidth="true" style="49" width="16.7109375" collapsed="true"/>
    <col min="8200" max="8200" customWidth="true" style="49" width="35.7109375" collapsed="true"/>
    <col min="8201" max="8201" customWidth="true" style="49" width="23.7109375" collapsed="true"/>
    <col min="8202" max="8202" customWidth="true" style="49" width="103.7109375" collapsed="true"/>
    <col min="8203" max="8204" customWidth="true" style="49" width="16.7109375" collapsed="true"/>
    <col min="8205" max="8205" customWidth="true" style="49" width="18.7109375" collapsed="true"/>
    <col min="8206" max="8206" customWidth="true" style="49" width="10.7109375" collapsed="true"/>
    <col min="8207" max="8208" customWidth="true" hidden="true" style="49" width="0.0" collapsed="true"/>
    <col min="8209" max="8448" style="49" width="9.140625" collapsed="true"/>
    <col min="8449" max="8449" customWidth="true" style="49" width="40.7109375" collapsed="true"/>
    <col min="8450" max="8450" customWidth="true" style="49" width="8.7109375" collapsed="true"/>
    <col min="8451" max="8451" customWidth="true" style="49" width="17.7109375" collapsed="true"/>
    <col min="8452" max="8452" customWidth="true" style="49" width="6.7109375" collapsed="true"/>
    <col min="8453" max="8453" customWidth="true" style="49" width="21.7109375" collapsed="true"/>
    <col min="8454" max="8454" customWidth="true" style="49" width="14.7109375" collapsed="true"/>
    <col min="8455" max="8455" customWidth="true" style="49" width="16.7109375" collapsed="true"/>
    <col min="8456" max="8456" customWidth="true" style="49" width="35.7109375" collapsed="true"/>
    <col min="8457" max="8457" customWidth="true" style="49" width="23.7109375" collapsed="true"/>
    <col min="8458" max="8458" customWidth="true" style="49" width="103.7109375" collapsed="true"/>
    <col min="8459" max="8460" customWidth="true" style="49" width="16.7109375" collapsed="true"/>
    <col min="8461" max="8461" customWidth="true" style="49" width="18.7109375" collapsed="true"/>
    <col min="8462" max="8462" customWidth="true" style="49" width="10.7109375" collapsed="true"/>
    <col min="8463" max="8464" customWidth="true" hidden="true" style="49" width="0.0" collapsed="true"/>
    <col min="8465" max="8704" style="49" width="9.140625" collapsed="true"/>
    <col min="8705" max="8705" customWidth="true" style="49" width="40.7109375" collapsed="true"/>
    <col min="8706" max="8706" customWidth="true" style="49" width="8.7109375" collapsed="true"/>
    <col min="8707" max="8707" customWidth="true" style="49" width="17.7109375" collapsed="true"/>
    <col min="8708" max="8708" customWidth="true" style="49" width="6.7109375" collapsed="true"/>
    <col min="8709" max="8709" customWidth="true" style="49" width="21.7109375" collapsed="true"/>
    <col min="8710" max="8710" customWidth="true" style="49" width="14.7109375" collapsed="true"/>
    <col min="8711" max="8711" customWidth="true" style="49" width="16.7109375" collapsed="true"/>
    <col min="8712" max="8712" customWidth="true" style="49" width="35.7109375" collapsed="true"/>
    <col min="8713" max="8713" customWidth="true" style="49" width="23.7109375" collapsed="true"/>
    <col min="8714" max="8714" customWidth="true" style="49" width="103.7109375" collapsed="true"/>
    <col min="8715" max="8716" customWidth="true" style="49" width="16.7109375" collapsed="true"/>
    <col min="8717" max="8717" customWidth="true" style="49" width="18.7109375" collapsed="true"/>
    <col min="8718" max="8718" customWidth="true" style="49" width="10.7109375" collapsed="true"/>
    <col min="8719" max="8720" customWidth="true" hidden="true" style="49" width="0.0" collapsed="true"/>
    <col min="8721" max="8960" style="49" width="9.140625" collapsed="true"/>
    <col min="8961" max="8961" customWidth="true" style="49" width="40.7109375" collapsed="true"/>
    <col min="8962" max="8962" customWidth="true" style="49" width="8.7109375" collapsed="true"/>
    <col min="8963" max="8963" customWidth="true" style="49" width="17.7109375" collapsed="true"/>
    <col min="8964" max="8964" customWidth="true" style="49" width="6.7109375" collapsed="true"/>
    <col min="8965" max="8965" customWidth="true" style="49" width="21.7109375" collapsed="true"/>
    <col min="8966" max="8966" customWidth="true" style="49" width="14.7109375" collapsed="true"/>
    <col min="8967" max="8967" customWidth="true" style="49" width="16.7109375" collapsed="true"/>
    <col min="8968" max="8968" customWidth="true" style="49" width="35.7109375" collapsed="true"/>
    <col min="8969" max="8969" customWidth="true" style="49" width="23.7109375" collapsed="true"/>
    <col min="8970" max="8970" customWidth="true" style="49" width="103.7109375" collapsed="true"/>
    <col min="8971" max="8972" customWidth="true" style="49" width="16.7109375" collapsed="true"/>
    <col min="8973" max="8973" customWidth="true" style="49" width="18.7109375" collapsed="true"/>
    <col min="8974" max="8974" customWidth="true" style="49" width="10.7109375" collapsed="true"/>
    <col min="8975" max="8976" customWidth="true" hidden="true" style="49" width="0.0" collapsed="true"/>
    <col min="8977" max="9216" style="49" width="9.140625" collapsed="true"/>
    <col min="9217" max="9217" customWidth="true" style="49" width="40.7109375" collapsed="true"/>
    <col min="9218" max="9218" customWidth="true" style="49" width="8.7109375" collapsed="true"/>
    <col min="9219" max="9219" customWidth="true" style="49" width="17.7109375" collapsed="true"/>
    <col min="9220" max="9220" customWidth="true" style="49" width="6.7109375" collapsed="true"/>
    <col min="9221" max="9221" customWidth="true" style="49" width="21.7109375" collapsed="true"/>
    <col min="9222" max="9222" customWidth="true" style="49" width="14.7109375" collapsed="true"/>
    <col min="9223" max="9223" customWidth="true" style="49" width="16.7109375" collapsed="true"/>
    <col min="9224" max="9224" customWidth="true" style="49" width="35.7109375" collapsed="true"/>
    <col min="9225" max="9225" customWidth="true" style="49" width="23.7109375" collapsed="true"/>
    <col min="9226" max="9226" customWidth="true" style="49" width="103.7109375" collapsed="true"/>
    <col min="9227" max="9228" customWidth="true" style="49" width="16.7109375" collapsed="true"/>
    <col min="9229" max="9229" customWidth="true" style="49" width="18.7109375" collapsed="true"/>
    <col min="9230" max="9230" customWidth="true" style="49" width="10.7109375" collapsed="true"/>
    <col min="9231" max="9232" customWidth="true" hidden="true" style="49" width="0.0" collapsed="true"/>
    <col min="9233" max="9472" style="49" width="9.140625" collapsed="true"/>
    <col min="9473" max="9473" customWidth="true" style="49" width="40.7109375" collapsed="true"/>
    <col min="9474" max="9474" customWidth="true" style="49" width="8.7109375" collapsed="true"/>
    <col min="9475" max="9475" customWidth="true" style="49" width="17.7109375" collapsed="true"/>
    <col min="9476" max="9476" customWidth="true" style="49" width="6.7109375" collapsed="true"/>
    <col min="9477" max="9477" customWidth="true" style="49" width="21.7109375" collapsed="true"/>
    <col min="9478" max="9478" customWidth="true" style="49" width="14.7109375" collapsed="true"/>
    <col min="9479" max="9479" customWidth="true" style="49" width="16.7109375" collapsed="true"/>
    <col min="9480" max="9480" customWidth="true" style="49" width="35.7109375" collapsed="true"/>
    <col min="9481" max="9481" customWidth="true" style="49" width="23.7109375" collapsed="true"/>
    <col min="9482" max="9482" customWidth="true" style="49" width="103.7109375" collapsed="true"/>
    <col min="9483" max="9484" customWidth="true" style="49" width="16.7109375" collapsed="true"/>
    <col min="9485" max="9485" customWidth="true" style="49" width="18.7109375" collapsed="true"/>
    <col min="9486" max="9486" customWidth="true" style="49" width="10.7109375" collapsed="true"/>
    <col min="9487" max="9488" customWidth="true" hidden="true" style="49" width="0.0" collapsed="true"/>
    <col min="9489" max="9728" style="49" width="9.140625" collapsed="true"/>
    <col min="9729" max="9729" customWidth="true" style="49" width="40.7109375" collapsed="true"/>
    <col min="9730" max="9730" customWidth="true" style="49" width="8.7109375" collapsed="true"/>
    <col min="9731" max="9731" customWidth="true" style="49" width="17.7109375" collapsed="true"/>
    <col min="9732" max="9732" customWidth="true" style="49" width="6.7109375" collapsed="true"/>
    <col min="9733" max="9733" customWidth="true" style="49" width="21.7109375" collapsed="true"/>
    <col min="9734" max="9734" customWidth="true" style="49" width="14.7109375" collapsed="true"/>
    <col min="9735" max="9735" customWidth="true" style="49" width="16.7109375" collapsed="true"/>
    <col min="9736" max="9736" customWidth="true" style="49" width="35.7109375" collapsed="true"/>
    <col min="9737" max="9737" customWidth="true" style="49" width="23.7109375" collapsed="true"/>
    <col min="9738" max="9738" customWidth="true" style="49" width="103.7109375" collapsed="true"/>
    <col min="9739" max="9740" customWidth="true" style="49" width="16.7109375" collapsed="true"/>
    <col min="9741" max="9741" customWidth="true" style="49" width="18.7109375" collapsed="true"/>
    <col min="9742" max="9742" customWidth="true" style="49" width="10.7109375" collapsed="true"/>
    <col min="9743" max="9744" customWidth="true" hidden="true" style="49" width="0.0" collapsed="true"/>
    <col min="9745" max="9984" style="49" width="9.140625" collapsed="true"/>
    <col min="9985" max="9985" customWidth="true" style="49" width="40.7109375" collapsed="true"/>
    <col min="9986" max="9986" customWidth="true" style="49" width="8.7109375" collapsed="true"/>
    <col min="9987" max="9987" customWidth="true" style="49" width="17.7109375" collapsed="true"/>
    <col min="9988" max="9988" customWidth="true" style="49" width="6.7109375" collapsed="true"/>
    <col min="9989" max="9989" customWidth="true" style="49" width="21.7109375" collapsed="true"/>
    <col min="9990" max="9990" customWidth="true" style="49" width="14.7109375" collapsed="true"/>
    <col min="9991" max="9991" customWidth="true" style="49" width="16.7109375" collapsed="true"/>
    <col min="9992" max="9992" customWidth="true" style="49" width="35.7109375" collapsed="true"/>
    <col min="9993" max="9993" customWidth="true" style="49" width="23.7109375" collapsed="true"/>
    <col min="9994" max="9994" customWidth="true" style="49" width="103.7109375" collapsed="true"/>
    <col min="9995" max="9996" customWidth="true" style="49" width="16.7109375" collapsed="true"/>
    <col min="9997" max="9997" customWidth="true" style="49" width="18.7109375" collapsed="true"/>
    <col min="9998" max="9998" customWidth="true" style="49" width="10.7109375" collapsed="true"/>
    <col min="9999" max="10000" customWidth="true" hidden="true" style="49" width="0.0" collapsed="true"/>
    <col min="10001" max="10240" style="49" width="9.140625" collapsed="true"/>
    <col min="10241" max="10241" customWidth="true" style="49" width="40.7109375" collapsed="true"/>
    <col min="10242" max="10242" customWidth="true" style="49" width="8.7109375" collapsed="true"/>
    <col min="10243" max="10243" customWidth="true" style="49" width="17.7109375" collapsed="true"/>
    <col min="10244" max="10244" customWidth="true" style="49" width="6.7109375" collapsed="true"/>
    <col min="10245" max="10245" customWidth="true" style="49" width="21.7109375" collapsed="true"/>
    <col min="10246" max="10246" customWidth="true" style="49" width="14.7109375" collapsed="true"/>
    <col min="10247" max="10247" customWidth="true" style="49" width="16.7109375" collapsed="true"/>
    <col min="10248" max="10248" customWidth="true" style="49" width="35.7109375" collapsed="true"/>
    <col min="10249" max="10249" customWidth="true" style="49" width="23.7109375" collapsed="true"/>
    <col min="10250" max="10250" customWidth="true" style="49" width="103.7109375" collapsed="true"/>
    <col min="10251" max="10252" customWidth="true" style="49" width="16.7109375" collapsed="true"/>
    <col min="10253" max="10253" customWidth="true" style="49" width="18.7109375" collapsed="true"/>
    <col min="10254" max="10254" customWidth="true" style="49" width="10.7109375" collapsed="true"/>
    <col min="10255" max="10256" customWidth="true" hidden="true" style="49" width="0.0" collapsed="true"/>
    <col min="10257" max="10496" style="49" width="9.140625" collapsed="true"/>
    <col min="10497" max="10497" customWidth="true" style="49" width="40.7109375" collapsed="true"/>
    <col min="10498" max="10498" customWidth="true" style="49" width="8.7109375" collapsed="true"/>
    <col min="10499" max="10499" customWidth="true" style="49" width="17.7109375" collapsed="true"/>
    <col min="10500" max="10500" customWidth="true" style="49" width="6.7109375" collapsed="true"/>
    <col min="10501" max="10501" customWidth="true" style="49" width="21.7109375" collapsed="true"/>
    <col min="10502" max="10502" customWidth="true" style="49" width="14.7109375" collapsed="true"/>
    <col min="10503" max="10503" customWidth="true" style="49" width="16.7109375" collapsed="true"/>
    <col min="10504" max="10504" customWidth="true" style="49" width="35.7109375" collapsed="true"/>
    <col min="10505" max="10505" customWidth="true" style="49" width="23.7109375" collapsed="true"/>
    <col min="10506" max="10506" customWidth="true" style="49" width="103.7109375" collapsed="true"/>
    <col min="10507" max="10508" customWidth="true" style="49" width="16.7109375" collapsed="true"/>
    <col min="10509" max="10509" customWidth="true" style="49" width="18.7109375" collapsed="true"/>
    <col min="10510" max="10510" customWidth="true" style="49" width="10.7109375" collapsed="true"/>
    <col min="10511" max="10512" customWidth="true" hidden="true" style="49" width="0.0" collapsed="true"/>
    <col min="10513" max="10752" style="49" width="9.140625" collapsed="true"/>
    <col min="10753" max="10753" customWidth="true" style="49" width="40.7109375" collapsed="true"/>
    <col min="10754" max="10754" customWidth="true" style="49" width="8.7109375" collapsed="true"/>
    <col min="10755" max="10755" customWidth="true" style="49" width="17.7109375" collapsed="true"/>
    <col min="10756" max="10756" customWidth="true" style="49" width="6.7109375" collapsed="true"/>
    <col min="10757" max="10757" customWidth="true" style="49" width="21.7109375" collapsed="true"/>
    <col min="10758" max="10758" customWidth="true" style="49" width="14.7109375" collapsed="true"/>
    <col min="10759" max="10759" customWidth="true" style="49" width="16.7109375" collapsed="true"/>
    <col min="10760" max="10760" customWidth="true" style="49" width="35.7109375" collapsed="true"/>
    <col min="10761" max="10761" customWidth="true" style="49" width="23.7109375" collapsed="true"/>
    <col min="10762" max="10762" customWidth="true" style="49" width="103.7109375" collapsed="true"/>
    <col min="10763" max="10764" customWidth="true" style="49" width="16.7109375" collapsed="true"/>
    <col min="10765" max="10765" customWidth="true" style="49" width="18.7109375" collapsed="true"/>
    <col min="10766" max="10766" customWidth="true" style="49" width="10.7109375" collapsed="true"/>
    <col min="10767" max="10768" customWidth="true" hidden="true" style="49" width="0.0" collapsed="true"/>
    <col min="10769" max="11008" style="49" width="9.140625" collapsed="true"/>
    <col min="11009" max="11009" customWidth="true" style="49" width="40.7109375" collapsed="true"/>
    <col min="11010" max="11010" customWidth="true" style="49" width="8.7109375" collapsed="true"/>
    <col min="11011" max="11011" customWidth="true" style="49" width="17.7109375" collapsed="true"/>
    <col min="11012" max="11012" customWidth="true" style="49" width="6.7109375" collapsed="true"/>
    <col min="11013" max="11013" customWidth="true" style="49" width="21.7109375" collapsed="true"/>
    <col min="11014" max="11014" customWidth="true" style="49" width="14.7109375" collapsed="true"/>
    <col min="11015" max="11015" customWidth="true" style="49" width="16.7109375" collapsed="true"/>
    <col min="11016" max="11016" customWidth="true" style="49" width="35.7109375" collapsed="true"/>
    <col min="11017" max="11017" customWidth="true" style="49" width="23.7109375" collapsed="true"/>
    <col min="11018" max="11018" customWidth="true" style="49" width="103.7109375" collapsed="true"/>
    <col min="11019" max="11020" customWidth="true" style="49" width="16.7109375" collapsed="true"/>
    <col min="11021" max="11021" customWidth="true" style="49" width="18.7109375" collapsed="true"/>
    <col min="11022" max="11022" customWidth="true" style="49" width="10.7109375" collapsed="true"/>
    <col min="11023" max="11024" customWidth="true" hidden="true" style="49" width="0.0" collapsed="true"/>
    <col min="11025" max="11264" style="49" width="9.140625" collapsed="true"/>
    <col min="11265" max="11265" customWidth="true" style="49" width="40.7109375" collapsed="true"/>
    <col min="11266" max="11266" customWidth="true" style="49" width="8.7109375" collapsed="true"/>
    <col min="11267" max="11267" customWidth="true" style="49" width="17.7109375" collapsed="true"/>
    <col min="11268" max="11268" customWidth="true" style="49" width="6.7109375" collapsed="true"/>
    <col min="11269" max="11269" customWidth="true" style="49" width="21.7109375" collapsed="true"/>
    <col min="11270" max="11270" customWidth="true" style="49" width="14.7109375" collapsed="true"/>
    <col min="11271" max="11271" customWidth="true" style="49" width="16.7109375" collapsed="true"/>
    <col min="11272" max="11272" customWidth="true" style="49" width="35.7109375" collapsed="true"/>
    <col min="11273" max="11273" customWidth="true" style="49" width="23.7109375" collapsed="true"/>
    <col min="11274" max="11274" customWidth="true" style="49" width="103.7109375" collapsed="true"/>
    <col min="11275" max="11276" customWidth="true" style="49" width="16.7109375" collapsed="true"/>
    <col min="11277" max="11277" customWidth="true" style="49" width="18.7109375" collapsed="true"/>
    <col min="11278" max="11278" customWidth="true" style="49" width="10.7109375" collapsed="true"/>
    <col min="11279" max="11280" customWidth="true" hidden="true" style="49" width="0.0" collapsed="true"/>
    <col min="11281" max="11520" style="49" width="9.140625" collapsed="true"/>
    <col min="11521" max="11521" customWidth="true" style="49" width="40.7109375" collapsed="true"/>
    <col min="11522" max="11522" customWidth="true" style="49" width="8.7109375" collapsed="true"/>
    <col min="11523" max="11523" customWidth="true" style="49" width="17.7109375" collapsed="true"/>
    <col min="11524" max="11524" customWidth="true" style="49" width="6.7109375" collapsed="true"/>
    <col min="11525" max="11525" customWidth="true" style="49" width="21.7109375" collapsed="true"/>
    <col min="11526" max="11526" customWidth="true" style="49" width="14.7109375" collapsed="true"/>
    <col min="11527" max="11527" customWidth="true" style="49" width="16.7109375" collapsed="true"/>
    <col min="11528" max="11528" customWidth="true" style="49" width="35.7109375" collapsed="true"/>
    <col min="11529" max="11529" customWidth="true" style="49" width="23.7109375" collapsed="true"/>
    <col min="11530" max="11530" customWidth="true" style="49" width="103.7109375" collapsed="true"/>
    <col min="11531" max="11532" customWidth="true" style="49" width="16.7109375" collapsed="true"/>
    <col min="11533" max="11533" customWidth="true" style="49" width="18.7109375" collapsed="true"/>
    <col min="11534" max="11534" customWidth="true" style="49" width="10.7109375" collapsed="true"/>
    <col min="11535" max="11536" customWidth="true" hidden="true" style="49" width="0.0" collapsed="true"/>
    <col min="11537" max="11776" style="49" width="9.140625" collapsed="true"/>
    <col min="11777" max="11777" customWidth="true" style="49" width="40.7109375" collapsed="true"/>
    <col min="11778" max="11778" customWidth="true" style="49" width="8.7109375" collapsed="true"/>
    <col min="11779" max="11779" customWidth="true" style="49" width="17.7109375" collapsed="true"/>
    <col min="11780" max="11780" customWidth="true" style="49" width="6.7109375" collapsed="true"/>
    <col min="11781" max="11781" customWidth="true" style="49" width="21.7109375" collapsed="true"/>
    <col min="11782" max="11782" customWidth="true" style="49" width="14.7109375" collapsed="true"/>
    <col min="11783" max="11783" customWidth="true" style="49" width="16.7109375" collapsed="true"/>
    <col min="11784" max="11784" customWidth="true" style="49" width="35.7109375" collapsed="true"/>
    <col min="11785" max="11785" customWidth="true" style="49" width="23.7109375" collapsed="true"/>
    <col min="11786" max="11786" customWidth="true" style="49" width="103.7109375" collapsed="true"/>
    <col min="11787" max="11788" customWidth="true" style="49" width="16.7109375" collapsed="true"/>
    <col min="11789" max="11789" customWidth="true" style="49" width="18.7109375" collapsed="true"/>
    <col min="11790" max="11790" customWidth="true" style="49" width="10.7109375" collapsed="true"/>
    <col min="11791" max="11792" customWidth="true" hidden="true" style="49" width="0.0" collapsed="true"/>
    <col min="11793" max="12032" style="49" width="9.140625" collapsed="true"/>
    <col min="12033" max="12033" customWidth="true" style="49" width="40.7109375" collapsed="true"/>
    <col min="12034" max="12034" customWidth="true" style="49" width="8.7109375" collapsed="true"/>
    <col min="12035" max="12035" customWidth="true" style="49" width="17.7109375" collapsed="true"/>
    <col min="12036" max="12036" customWidth="true" style="49" width="6.7109375" collapsed="true"/>
    <col min="12037" max="12037" customWidth="true" style="49" width="21.7109375" collapsed="true"/>
    <col min="12038" max="12038" customWidth="true" style="49" width="14.7109375" collapsed="true"/>
    <col min="12039" max="12039" customWidth="true" style="49" width="16.7109375" collapsed="true"/>
    <col min="12040" max="12040" customWidth="true" style="49" width="35.7109375" collapsed="true"/>
    <col min="12041" max="12041" customWidth="true" style="49" width="23.7109375" collapsed="true"/>
    <col min="12042" max="12042" customWidth="true" style="49" width="103.7109375" collapsed="true"/>
    <col min="12043" max="12044" customWidth="true" style="49" width="16.7109375" collapsed="true"/>
    <col min="12045" max="12045" customWidth="true" style="49" width="18.7109375" collapsed="true"/>
    <col min="12046" max="12046" customWidth="true" style="49" width="10.7109375" collapsed="true"/>
    <col min="12047" max="12048" customWidth="true" hidden="true" style="49" width="0.0" collapsed="true"/>
    <col min="12049" max="12288" style="49" width="9.140625" collapsed="true"/>
    <col min="12289" max="12289" customWidth="true" style="49" width="40.7109375" collapsed="true"/>
    <col min="12290" max="12290" customWidth="true" style="49" width="8.7109375" collapsed="true"/>
    <col min="12291" max="12291" customWidth="true" style="49" width="17.7109375" collapsed="true"/>
    <col min="12292" max="12292" customWidth="true" style="49" width="6.7109375" collapsed="true"/>
    <col min="12293" max="12293" customWidth="true" style="49" width="21.7109375" collapsed="true"/>
    <col min="12294" max="12294" customWidth="true" style="49" width="14.7109375" collapsed="true"/>
    <col min="12295" max="12295" customWidth="true" style="49" width="16.7109375" collapsed="true"/>
    <col min="12296" max="12296" customWidth="true" style="49" width="35.7109375" collapsed="true"/>
    <col min="12297" max="12297" customWidth="true" style="49" width="23.7109375" collapsed="true"/>
    <col min="12298" max="12298" customWidth="true" style="49" width="103.7109375" collapsed="true"/>
    <col min="12299" max="12300" customWidth="true" style="49" width="16.7109375" collapsed="true"/>
    <col min="12301" max="12301" customWidth="true" style="49" width="18.7109375" collapsed="true"/>
    <col min="12302" max="12302" customWidth="true" style="49" width="10.7109375" collapsed="true"/>
    <col min="12303" max="12304" customWidth="true" hidden="true" style="49" width="0.0" collapsed="true"/>
    <col min="12305" max="12544" style="49" width="9.140625" collapsed="true"/>
    <col min="12545" max="12545" customWidth="true" style="49" width="40.7109375" collapsed="true"/>
    <col min="12546" max="12546" customWidth="true" style="49" width="8.7109375" collapsed="true"/>
    <col min="12547" max="12547" customWidth="true" style="49" width="17.7109375" collapsed="true"/>
    <col min="12548" max="12548" customWidth="true" style="49" width="6.7109375" collapsed="true"/>
    <col min="12549" max="12549" customWidth="true" style="49" width="21.7109375" collapsed="true"/>
    <col min="12550" max="12550" customWidth="true" style="49" width="14.7109375" collapsed="true"/>
    <col min="12551" max="12551" customWidth="true" style="49" width="16.7109375" collapsed="true"/>
    <col min="12552" max="12552" customWidth="true" style="49" width="35.7109375" collapsed="true"/>
    <col min="12553" max="12553" customWidth="true" style="49" width="23.7109375" collapsed="true"/>
    <col min="12554" max="12554" customWidth="true" style="49" width="103.7109375" collapsed="true"/>
    <col min="12555" max="12556" customWidth="true" style="49" width="16.7109375" collapsed="true"/>
    <col min="12557" max="12557" customWidth="true" style="49" width="18.7109375" collapsed="true"/>
    <col min="12558" max="12558" customWidth="true" style="49" width="10.7109375" collapsed="true"/>
    <col min="12559" max="12560" customWidth="true" hidden="true" style="49" width="0.0" collapsed="true"/>
    <col min="12561" max="12800" style="49" width="9.140625" collapsed="true"/>
    <col min="12801" max="12801" customWidth="true" style="49" width="40.7109375" collapsed="true"/>
    <col min="12802" max="12802" customWidth="true" style="49" width="8.7109375" collapsed="true"/>
    <col min="12803" max="12803" customWidth="true" style="49" width="17.7109375" collapsed="true"/>
    <col min="12804" max="12804" customWidth="true" style="49" width="6.7109375" collapsed="true"/>
    <col min="12805" max="12805" customWidth="true" style="49" width="21.7109375" collapsed="true"/>
    <col min="12806" max="12806" customWidth="true" style="49" width="14.7109375" collapsed="true"/>
    <col min="12807" max="12807" customWidth="true" style="49" width="16.7109375" collapsed="true"/>
    <col min="12808" max="12808" customWidth="true" style="49" width="35.7109375" collapsed="true"/>
    <col min="12809" max="12809" customWidth="true" style="49" width="23.7109375" collapsed="true"/>
    <col min="12810" max="12810" customWidth="true" style="49" width="103.7109375" collapsed="true"/>
    <col min="12811" max="12812" customWidth="true" style="49" width="16.7109375" collapsed="true"/>
    <col min="12813" max="12813" customWidth="true" style="49" width="18.7109375" collapsed="true"/>
    <col min="12814" max="12814" customWidth="true" style="49" width="10.7109375" collapsed="true"/>
    <col min="12815" max="12816" customWidth="true" hidden="true" style="49" width="0.0" collapsed="true"/>
    <col min="12817" max="13056" style="49" width="9.140625" collapsed="true"/>
    <col min="13057" max="13057" customWidth="true" style="49" width="40.7109375" collapsed="true"/>
    <col min="13058" max="13058" customWidth="true" style="49" width="8.7109375" collapsed="true"/>
    <col min="13059" max="13059" customWidth="true" style="49" width="17.7109375" collapsed="true"/>
    <col min="13060" max="13060" customWidth="true" style="49" width="6.7109375" collapsed="true"/>
    <col min="13061" max="13061" customWidth="true" style="49" width="21.7109375" collapsed="true"/>
    <col min="13062" max="13062" customWidth="true" style="49" width="14.7109375" collapsed="true"/>
    <col min="13063" max="13063" customWidth="true" style="49" width="16.7109375" collapsed="true"/>
    <col min="13064" max="13064" customWidth="true" style="49" width="35.7109375" collapsed="true"/>
    <col min="13065" max="13065" customWidth="true" style="49" width="23.7109375" collapsed="true"/>
    <col min="13066" max="13066" customWidth="true" style="49" width="103.7109375" collapsed="true"/>
    <col min="13067" max="13068" customWidth="true" style="49" width="16.7109375" collapsed="true"/>
    <col min="13069" max="13069" customWidth="true" style="49" width="18.7109375" collapsed="true"/>
    <col min="13070" max="13070" customWidth="true" style="49" width="10.7109375" collapsed="true"/>
    <col min="13071" max="13072" customWidth="true" hidden="true" style="49" width="0.0" collapsed="true"/>
    <col min="13073" max="13312" style="49" width="9.140625" collapsed="true"/>
    <col min="13313" max="13313" customWidth="true" style="49" width="40.7109375" collapsed="true"/>
    <col min="13314" max="13314" customWidth="true" style="49" width="8.7109375" collapsed="true"/>
    <col min="13315" max="13315" customWidth="true" style="49" width="17.7109375" collapsed="true"/>
    <col min="13316" max="13316" customWidth="true" style="49" width="6.7109375" collapsed="true"/>
    <col min="13317" max="13317" customWidth="true" style="49" width="21.7109375" collapsed="true"/>
    <col min="13318" max="13318" customWidth="true" style="49" width="14.7109375" collapsed="true"/>
    <col min="13319" max="13319" customWidth="true" style="49" width="16.7109375" collapsed="true"/>
    <col min="13320" max="13320" customWidth="true" style="49" width="35.7109375" collapsed="true"/>
    <col min="13321" max="13321" customWidth="true" style="49" width="23.7109375" collapsed="true"/>
    <col min="13322" max="13322" customWidth="true" style="49" width="103.7109375" collapsed="true"/>
    <col min="13323" max="13324" customWidth="true" style="49" width="16.7109375" collapsed="true"/>
    <col min="13325" max="13325" customWidth="true" style="49" width="18.7109375" collapsed="true"/>
    <col min="13326" max="13326" customWidth="true" style="49" width="10.7109375" collapsed="true"/>
    <col min="13327" max="13328" customWidth="true" hidden="true" style="49" width="0.0" collapsed="true"/>
    <col min="13329" max="13568" style="49" width="9.140625" collapsed="true"/>
    <col min="13569" max="13569" customWidth="true" style="49" width="40.7109375" collapsed="true"/>
    <col min="13570" max="13570" customWidth="true" style="49" width="8.7109375" collapsed="true"/>
    <col min="13571" max="13571" customWidth="true" style="49" width="17.7109375" collapsed="true"/>
    <col min="13572" max="13572" customWidth="true" style="49" width="6.7109375" collapsed="true"/>
    <col min="13573" max="13573" customWidth="true" style="49" width="21.7109375" collapsed="true"/>
    <col min="13574" max="13574" customWidth="true" style="49" width="14.7109375" collapsed="true"/>
    <col min="13575" max="13575" customWidth="true" style="49" width="16.7109375" collapsed="true"/>
    <col min="13576" max="13576" customWidth="true" style="49" width="35.7109375" collapsed="true"/>
    <col min="13577" max="13577" customWidth="true" style="49" width="23.7109375" collapsed="true"/>
    <col min="13578" max="13578" customWidth="true" style="49" width="103.7109375" collapsed="true"/>
    <col min="13579" max="13580" customWidth="true" style="49" width="16.7109375" collapsed="true"/>
    <col min="13581" max="13581" customWidth="true" style="49" width="18.7109375" collapsed="true"/>
    <col min="13582" max="13582" customWidth="true" style="49" width="10.7109375" collapsed="true"/>
    <col min="13583" max="13584" customWidth="true" hidden="true" style="49" width="0.0" collapsed="true"/>
    <col min="13585" max="13824" style="49" width="9.140625" collapsed="true"/>
    <col min="13825" max="13825" customWidth="true" style="49" width="40.7109375" collapsed="true"/>
    <col min="13826" max="13826" customWidth="true" style="49" width="8.7109375" collapsed="true"/>
    <col min="13827" max="13827" customWidth="true" style="49" width="17.7109375" collapsed="true"/>
    <col min="13828" max="13828" customWidth="true" style="49" width="6.7109375" collapsed="true"/>
    <col min="13829" max="13829" customWidth="true" style="49" width="21.7109375" collapsed="true"/>
    <col min="13830" max="13830" customWidth="true" style="49" width="14.7109375" collapsed="true"/>
    <col min="13831" max="13831" customWidth="true" style="49" width="16.7109375" collapsed="true"/>
    <col min="13832" max="13832" customWidth="true" style="49" width="35.7109375" collapsed="true"/>
    <col min="13833" max="13833" customWidth="true" style="49" width="23.7109375" collapsed="true"/>
    <col min="13834" max="13834" customWidth="true" style="49" width="103.7109375" collapsed="true"/>
    <col min="13835" max="13836" customWidth="true" style="49" width="16.7109375" collapsed="true"/>
    <col min="13837" max="13837" customWidth="true" style="49" width="18.7109375" collapsed="true"/>
    <col min="13838" max="13838" customWidth="true" style="49" width="10.7109375" collapsed="true"/>
    <col min="13839" max="13840" customWidth="true" hidden="true" style="49" width="0.0" collapsed="true"/>
    <col min="13841" max="14080" style="49" width="9.140625" collapsed="true"/>
    <col min="14081" max="14081" customWidth="true" style="49" width="40.7109375" collapsed="true"/>
    <col min="14082" max="14082" customWidth="true" style="49" width="8.7109375" collapsed="true"/>
    <col min="14083" max="14083" customWidth="true" style="49" width="17.7109375" collapsed="true"/>
    <col min="14084" max="14084" customWidth="true" style="49" width="6.7109375" collapsed="true"/>
    <col min="14085" max="14085" customWidth="true" style="49" width="21.7109375" collapsed="true"/>
    <col min="14086" max="14086" customWidth="true" style="49" width="14.7109375" collapsed="true"/>
    <col min="14087" max="14087" customWidth="true" style="49" width="16.7109375" collapsed="true"/>
    <col min="14088" max="14088" customWidth="true" style="49" width="35.7109375" collapsed="true"/>
    <col min="14089" max="14089" customWidth="true" style="49" width="23.7109375" collapsed="true"/>
    <col min="14090" max="14090" customWidth="true" style="49" width="103.7109375" collapsed="true"/>
    <col min="14091" max="14092" customWidth="true" style="49" width="16.7109375" collapsed="true"/>
    <col min="14093" max="14093" customWidth="true" style="49" width="18.7109375" collapsed="true"/>
    <col min="14094" max="14094" customWidth="true" style="49" width="10.7109375" collapsed="true"/>
    <col min="14095" max="14096" customWidth="true" hidden="true" style="49" width="0.0" collapsed="true"/>
    <col min="14097" max="14336" style="49" width="9.140625" collapsed="true"/>
    <col min="14337" max="14337" customWidth="true" style="49" width="40.7109375" collapsed="true"/>
    <col min="14338" max="14338" customWidth="true" style="49" width="8.7109375" collapsed="true"/>
    <col min="14339" max="14339" customWidth="true" style="49" width="17.7109375" collapsed="true"/>
    <col min="14340" max="14340" customWidth="true" style="49" width="6.7109375" collapsed="true"/>
    <col min="14341" max="14341" customWidth="true" style="49" width="21.7109375" collapsed="true"/>
    <col min="14342" max="14342" customWidth="true" style="49" width="14.7109375" collapsed="true"/>
    <col min="14343" max="14343" customWidth="true" style="49" width="16.7109375" collapsed="true"/>
    <col min="14344" max="14344" customWidth="true" style="49" width="35.7109375" collapsed="true"/>
    <col min="14345" max="14345" customWidth="true" style="49" width="23.7109375" collapsed="true"/>
    <col min="14346" max="14346" customWidth="true" style="49" width="103.7109375" collapsed="true"/>
    <col min="14347" max="14348" customWidth="true" style="49" width="16.7109375" collapsed="true"/>
    <col min="14349" max="14349" customWidth="true" style="49" width="18.7109375" collapsed="true"/>
    <col min="14350" max="14350" customWidth="true" style="49" width="10.7109375" collapsed="true"/>
    <col min="14351" max="14352" customWidth="true" hidden="true" style="49" width="0.0" collapsed="true"/>
    <col min="14353" max="14592" style="49" width="9.140625" collapsed="true"/>
    <col min="14593" max="14593" customWidth="true" style="49" width="40.7109375" collapsed="true"/>
    <col min="14594" max="14594" customWidth="true" style="49" width="8.7109375" collapsed="true"/>
    <col min="14595" max="14595" customWidth="true" style="49" width="17.7109375" collapsed="true"/>
    <col min="14596" max="14596" customWidth="true" style="49" width="6.7109375" collapsed="true"/>
    <col min="14597" max="14597" customWidth="true" style="49" width="21.7109375" collapsed="true"/>
    <col min="14598" max="14598" customWidth="true" style="49" width="14.7109375" collapsed="true"/>
    <col min="14599" max="14599" customWidth="true" style="49" width="16.7109375" collapsed="true"/>
    <col min="14600" max="14600" customWidth="true" style="49" width="35.7109375" collapsed="true"/>
    <col min="14601" max="14601" customWidth="true" style="49" width="23.7109375" collapsed="true"/>
    <col min="14602" max="14602" customWidth="true" style="49" width="103.7109375" collapsed="true"/>
    <col min="14603" max="14604" customWidth="true" style="49" width="16.7109375" collapsed="true"/>
    <col min="14605" max="14605" customWidth="true" style="49" width="18.7109375" collapsed="true"/>
    <col min="14606" max="14606" customWidth="true" style="49" width="10.7109375" collapsed="true"/>
    <col min="14607" max="14608" customWidth="true" hidden="true" style="49" width="0.0" collapsed="true"/>
    <col min="14609" max="14848" style="49" width="9.140625" collapsed="true"/>
    <col min="14849" max="14849" customWidth="true" style="49" width="40.7109375" collapsed="true"/>
    <col min="14850" max="14850" customWidth="true" style="49" width="8.7109375" collapsed="true"/>
    <col min="14851" max="14851" customWidth="true" style="49" width="17.7109375" collapsed="true"/>
    <col min="14852" max="14852" customWidth="true" style="49" width="6.7109375" collapsed="true"/>
    <col min="14853" max="14853" customWidth="true" style="49" width="21.7109375" collapsed="true"/>
    <col min="14854" max="14854" customWidth="true" style="49" width="14.7109375" collapsed="true"/>
    <col min="14855" max="14855" customWidth="true" style="49" width="16.7109375" collapsed="true"/>
    <col min="14856" max="14856" customWidth="true" style="49" width="35.7109375" collapsed="true"/>
    <col min="14857" max="14857" customWidth="true" style="49" width="23.7109375" collapsed="true"/>
    <col min="14858" max="14858" customWidth="true" style="49" width="103.7109375" collapsed="true"/>
    <col min="14859" max="14860" customWidth="true" style="49" width="16.7109375" collapsed="true"/>
    <col min="14861" max="14861" customWidth="true" style="49" width="18.7109375" collapsed="true"/>
    <col min="14862" max="14862" customWidth="true" style="49" width="10.7109375" collapsed="true"/>
    <col min="14863" max="14864" customWidth="true" hidden="true" style="49" width="0.0" collapsed="true"/>
    <col min="14865" max="15104" style="49" width="9.140625" collapsed="true"/>
    <col min="15105" max="15105" customWidth="true" style="49" width="40.7109375" collapsed="true"/>
    <col min="15106" max="15106" customWidth="true" style="49" width="8.7109375" collapsed="true"/>
    <col min="15107" max="15107" customWidth="true" style="49" width="17.7109375" collapsed="true"/>
    <col min="15108" max="15108" customWidth="true" style="49" width="6.7109375" collapsed="true"/>
    <col min="15109" max="15109" customWidth="true" style="49" width="21.7109375" collapsed="true"/>
    <col min="15110" max="15110" customWidth="true" style="49" width="14.7109375" collapsed="true"/>
    <col min="15111" max="15111" customWidth="true" style="49" width="16.7109375" collapsed="true"/>
    <col min="15112" max="15112" customWidth="true" style="49" width="35.7109375" collapsed="true"/>
    <col min="15113" max="15113" customWidth="true" style="49" width="23.7109375" collapsed="true"/>
    <col min="15114" max="15114" customWidth="true" style="49" width="103.7109375" collapsed="true"/>
    <col min="15115" max="15116" customWidth="true" style="49" width="16.7109375" collapsed="true"/>
    <col min="15117" max="15117" customWidth="true" style="49" width="18.7109375" collapsed="true"/>
    <col min="15118" max="15118" customWidth="true" style="49" width="10.7109375" collapsed="true"/>
    <col min="15119" max="15120" customWidth="true" hidden="true" style="49" width="0.0" collapsed="true"/>
    <col min="15121" max="15360" style="49" width="9.140625" collapsed="true"/>
    <col min="15361" max="15361" customWidth="true" style="49" width="40.7109375" collapsed="true"/>
    <col min="15362" max="15362" customWidth="true" style="49" width="8.7109375" collapsed="true"/>
    <col min="15363" max="15363" customWidth="true" style="49" width="17.7109375" collapsed="true"/>
    <col min="15364" max="15364" customWidth="true" style="49" width="6.7109375" collapsed="true"/>
    <col min="15365" max="15365" customWidth="true" style="49" width="21.7109375" collapsed="true"/>
    <col min="15366" max="15366" customWidth="true" style="49" width="14.7109375" collapsed="true"/>
    <col min="15367" max="15367" customWidth="true" style="49" width="16.7109375" collapsed="true"/>
    <col min="15368" max="15368" customWidth="true" style="49" width="35.7109375" collapsed="true"/>
    <col min="15369" max="15369" customWidth="true" style="49" width="23.7109375" collapsed="true"/>
    <col min="15370" max="15370" customWidth="true" style="49" width="103.7109375" collapsed="true"/>
    <col min="15371" max="15372" customWidth="true" style="49" width="16.7109375" collapsed="true"/>
    <col min="15373" max="15373" customWidth="true" style="49" width="18.7109375" collapsed="true"/>
    <col min="15374" max="15374" customWidth="true" style="49" width="10.7109375" collapsed="true"/>
    <col min="15375" max="15376" customWidth="true" hidden="true" style="49" width="0.0" collapsed="true"/>
    <col min="15377" max="15616" style="49" width="9.140625" collapsed="true"/>
    <col min="15617" max="15617" customWidth="true" style="49" width="40.7109375" collapsed="true"/>
    <col min="15618" max="15618" customWidth="true" style="49" width="8.7109375" collapsed="true"/>
    <col min="15619" max="15619" customWidth="true" style="49" width="17.7109375" collapsed="true"/>
    <col min="15620" max="15620" customWidth="true" style="49" width="6.7109375" collapsed="true"/>
    <col min="15621" max="15621" customWidth="true" style="49" width="21.7109375" collapsed="true"/>
    <col min="15622" max="15622" customWidth="true" style="49" width="14.7109375" collapsed="true"/>
    <col min="15623" max="15623" customWidth="true" style="49" width="16.7109375" collapsed="true"/>
    <col min="15624" max="15624" customWidth="true" style="49" width="35.7109375" collapsed="true"/>
    <col min="15625" max="15625" customWidth="true" style="49" width="23.7109375" collapsed="true"/>
    <col min="15626" max="15626" customWidth="true" style="49" width="103.7109375" collapsed="true"/>
    <col min="15627" max="15628" customWidth="true" style="49" width="16.7109375" collapsed="true"/>
    <col min="15629" max="15629" customWidth="true" style="49" width="18.7109375" collapsed="true"/>
    <col min="15630" max="15630" customWidth="true" style="49" width="10.7109375" collapsed="true"/>
    <col min="15631" max="15632" customWidth="true" hidden="true" style="49" width="0.0" collapsed="true"/>
    <col min="15633" max="15872" style="49" width="9.140625" collapsed="true"/>
    <col min="15873" max="15873" customWidth="true" style="49" width="40.7109375" collapsed="true"/>
    <col min="15874" max="15874" customWidth="true" style="49" width="8.7109375" collapsed="true"/>
    <col min="15875" max="15875" customWidth="true" style="49" width="17.7109375" collapsed="true"/>
    <col min="15876" max="15876" customWidth="true" style="49" width="6.7109375" collapsed="true"/>
    <col min="15877" max="15877" customWidth="true" style="49" width="21.7109375" collapsed="true"/>
    <col min="15878" max="15878" customWidth="true" style="49" width="14.7109375" collapsed="true"/>
    <col min="15879" max="15879" customWidth="true" style="49" width="16.7109375" collapsed="true"/>
    <col min="15880" max="15880" customWidth="true" style="49" width="35.7109375" collapsed="true"/>
    <col min="15881" max="15881" customWidth="true" style="49" width="23.7109375" collapsed="true"/>
    <col min="15882" max="15882" customWidth="true" style="49" width="103.7109375" collapsed="true"/>
    <col min="15883" max="15884" customWidth="true" style="49" width="16.7109375" collapsed="true"/>
    <col min="15885" max="15885" customWidth="true" style="49" width="18.7109375" collapsed="true"/>
    <col min="15886" max="15886" customWidth="true" style="49" width="10.7109375" collapsed="true"/>
    <col min="15887" max="15888" customWidth="true" hidden="true" style="49" width="0.0" collapsed="true"/>
    <col min="15889" max="16128" style="49" width="9.140625" collapsed="true"/>
    <col min="16129" max="16129" customWidth="true" style="49" width="40.7109375" collapsed="true"/>
    <col min="16130" max="16130" customWidth="true" style="49" width="8.7109375" collapsed="true"/>
    <col min="16131" max="16131" customWidth="true" style="49" width="17.7109375" collapsed="true"/>
    <col min="16132" max="16132" customWidth="true" style="49" width="6.7109375" collapsed="true"/>
    <col min="16133" max="16133" customWidth="true" style="49" width="21.7109375" collapsed="true"/>
    <col min="16134" max="16134" customWidth="true" style="49" width="14.7109375" collapsed="true"/>
    <col min="16135" max="16135" customWidth="true" style="49" width="16.7109375" collapsed="true"/>
    <col min="16136" max="16136" customWidth="true" style="49" width="35.7109375" collapsed="true"/>
    <col min="16137" max="16137" customWidth="true" style="49" width="23.7109375" collapsed="true"/>
    <col min="16138" max="16138" customWidth="true" style="49" width="103.7109375" collapsed="true"/>
    <col min="16139" max="16140" customWidth="true" style="49" width="16.7109375" collapsed="true"/>
    <col min="16141" max="16141" customWidth="true" style="49" width="18.7109375" collapsed="true"/>
    <col min="16142" max="16142" customWidth="true" style="49" width="10.7109375" collapsed="true"/>
    <col min="16143" max="16144" customWidth="true" hidden="true" style="49" width="0.0" collapsed="true"/>
    <col min="16145" max="16384" style="49" width="9.140625" collapsed="true"/>
  </cols>
  <sheetData>
    <row r="1" spans="1:16" s="1" customFormat="1" ht="16.5" thickTop="1" thickBot="1" x14ac:dyDescent="0.3">
      <c r="A1" s="1" t="s">
        <v>188</v>
      </c>
      <c r="B1" s="1" t="s">
        <v>189</v>
      </c>
      <c r="C1" s="1" t="s">
        <v>190</v>
      </c>
      <c r="D1" s="1" t="s">
        <v>167</v>
      </c>
      <c r="E1" s="1" t="s">
        <v>191</v>
      </c>
      <c r="F1" s="1" t="s">
        <v>192</v>
      </c>
      <c r="G1" s="1" t="s">
        <v>193</v>
      </c>
      <c r="H1" s="1" t="s">
        <v>194</v>
      </c>
      <c r="I1" s="1" t="s">
        <v>195</v>
      </c>
      <c r="J1" s="1" t="s">
        <v>196</v>
      </c>
      <c r="K1" s="1" t="s">
        <v>197</v>
      </c>
      <c r="L1" s="1" t="s">
        <v>198</v>
      </c>
      <c r="M1" s="1" t="s">
        <v>199</v>
      </c>
      <c r="N1" s="1" t="s">
        <v>3</v>
      </c>
      <c r="O1" s="1" t="s">
        <v>208</v>
      </c>
      <c r="P1" s="1" t="s">
        <v>209</v>
      </c>
    </row>
    <row r="2" spans="1:16" customFormat="1" ht="15.75" thickTop="1" x14ac:dyDescent="0.25"/>
    <row r="3" spans="1:16" customFormat="1" x14ac:dyDescent="0.25"/>
    <row r="4" spans="1:16" customFormat="1" x14ac:dyDescent="0.25"/>
    <row r="5" spans="1:16" customFormat="1" x14ac:dyDescent="0.25"/>
    <row r="6" spans="1:16" customFormat="1" x14ac:dyDescent="0.25"/>
    <row r="7" spans="1:16" customFormat="1" x14ac:dyDescent="0.25"/>
    <row r="8" spans="1:16" customFormat="1" x14ac:dyDescent="0.25"/>
    <row r="9" spans="1:16" customFormat="1" x14ac:dyDescent="0.25"/>
    <row r="10" spans="1:16" customFormat="1" x14ac:dyDescent="0.25"/>
    <row r="11" spans="1:16" customFormat="1" x14ac:dyDescent="0.25"/>
    <row r="12" spans="1:16" customFormat="1" x14ac:dyDescent="0.25"/>
    <row r="13" spans="1:16" customFormat="1" x14ac:dyDescent="0.25"/>
    <row r="14" spans="1:16" customFormat="1" x14ac:dyDescent="0.25"/>
    <row r="15" spans="1:16" customFormat="1" x14ac:dyDescent="0.25"/>
    <row r="16" spans="1: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</sheetData>
  <dataValidations count="1">
    <dataValidation type="list" allowBlank="1" showInputMessage="1" showErrorMessage="1" sqref="N983042:N983486 JJ983042:JJ983486 TF983042:TF983486 ADB983042:ADB983486 AMX983042:AMX983486 AWT983042:AWT983486 BGP983042:BGP983486 BQL983042:BQL983486 CAH983042:CAH983486 CKD983042:CKD983486 CTZ983042:CTZ983486 DDV983042:DDV983486 DNR983042:DNR983486 DXN983042:DXN983486 EHJ983042:EHJ983486 ERF983042:ERF983486 FBB983042:FBB983486 FKX983042:FKX983486 FUT983042:FUT983486 GEP983042:GEP983486 GOL983042:GOL983486 GYH983042:GYH983486 HID983042:HID983486 HRZ983042:HRZ983486 IBV983042:IBV983486 ILR983042:ILR983486 IVN983042:IVN983486 JFJ983042:JFJ983486 JPF983042:JPF983486 JZB983042:JZB983486 KIX983042:KIX983486 KST983042:KST983486 LCP983042:LCP983486 LML983042:LML983486 LWH983042:LWH983486 MGD983042:MGD983486 MPZ983042:MPZ983486 MZV983042:MZV983486 NJR983042:NJR983486 NTN983042:NTN983486 ODJ983042:ODJ983486 ONF983042:ONF983486 OXB983042:OXB983486 PGX983042:PGX983486 PQT983042:PQT983486 QAP983042:QAP983486 QKL983042:QKL983486 QUH983042:QUH983486 RED983042:RED983486 RNZ983042:RNZ983486 RXV983042:RXV983486 SHR983042:SHR983486 SRN983042:SRN983486 TBJ983042:TBJ983486 TLF983042:TLF983486 TVB983042:TVB983486 UEX983042:UEX983486 UOT983042:UOT983486 UYP983042:UYP983486 VIL983042:VIL983486 VSH983042:VSH983486 WCD983042:WCD983486 WLZ983042:WLZ983486 WVV983042:WVV983486 N65538:N65982 JJ65538:JJ65982 TF65538:TF65982 ADB65538:ADB65982 AMX65538:AMX65982 AWT65538:AWT65982 BGP65538:BGP65982 BQL65538:BQL65982 CAH65538:CAH65982 CKD65538:CKD65982 CTZ65538:CTZ65982 DDV65538:DDV65982 DNR65538:DNR65982 DXN65538:DXN65982 EHJ65538:EHJ65982 ERF65538:ERF65982 FBB65538:FBB65982 FKX65538:FKX65982 FUT65538:FUT65982 GEP65538:GEP65982 GOL65538:GOL65982 GYH65538:GYH65982 HID65538:HID65982 HRZ65538:HRZ65982 IBV65538:IBV65982 ILR65538:ILR65982 IVN65538:IVN65982 JFJ65538:JFJ65982 JPF65538:JPF65982 JZB65538:JZB65982 KIX65538:KIX65982 KST65538:KST65982 LCP65538:LCP65982 LML65538:LML65982 LWH65538:LWH65982 MGD65538:MGD65982 MPZ65538:MPZ65982 MZV65538:MZV65982 NJR65538:NJR65982 NTN65538:NTN65982 ODJ65538:ODJ65982 ONF65538:ONF65982 OXB65538:OXB65982 PGX65538:PGX65982 PQT65538:PQT65982 QAP65538:QAP65982 QKL65538:QKL65982 QUH65538:QUH65982 RED65538:RED65982 RNZ65538:RNZ65982 RXV65538:RXV65982 SHR65538:SHR65982 SRN65538:SRN65982 TBJ65538:TBJ65982 TLF65538:TLF65982 TVB65538:TVB65982 UEX65538:UEX65982 UOT65538:UOT65982 UYP65538:UYP65982 VIL65538:VIL65982 VSH65538:VSH65982 WCD65538:WCD65982 WLZ65538:WLZ65982 WVV65538:WVV65982 N131074:N131518 JJ131074:JJ131518 TF131074:TF131518 ADB131074:ADB131518 AMX131074:AMX131518 AWT131074:AWT131518 BGP131074:BGP131518 BQL131074:BQL131518 CAH131074:CAH131518 CKD131074:CKD131518 CTZ131074:CTZ131518 DDV131074:DDV131518 DNR131074:DNR131518 DXN131074:DXN131518 EHJ131074:EHJ131518 ERF131074:ERF131518 FBB131074:FBB131518 FKX131074:FKX131518 FUT131074:FUT131518 GEP131074:GEP131518 GOL131074:GOL131518 GYH131074:GYH131518 HID131074:HID131518 HRZ131074:HRZ131518 IBV131074:IBV131518 ILR131074:ILR131518 IVN131074:IVN131518 JFJ131074:JFJ131518 JPF131074:JPF131518 JZB131074:JZB131518 KIX131074:KIX131518 KST131074:KST131518 LCP131074:LCP131518 LML131074:LML131518 LWH131074:LWH131518 MGD131074:MGD131518 MPZ131074:MPZ131518 MZV131074:MZV131518 NJR131074:NJR131518 NTN131074:NTN131518 ODJ131074:ODJ131518 ONF131074:ONF131518 OXB131074:OXB131518 PGX131074:PGX131518 PQT131074:PQT131518 QAP131074:QAP131518 QKL131074:QKL131518 QUH131074:QUH131518 RED131074:RED131518 RNZ131074:RNZ131518 RXV131074:RXV131518 SHR131074:SHR131518 SRN131074:SRN131518 TBJ131074:TBJ131518 TLF131074:TLF131518 TVB131074:TVB131518 UEX131074:UEX131518 UOT131074:UOT131518 UYP131074:UYP131518 VIL131074:VIL131518 VSH131074:VSH131518 WCD131074:WCD131518 WLZ131074:WLZ131518 WVV131074:WVV131518 N196610:N197054 JJ196610:JJ197054 TF196610:TF197054 ADB196610:ADB197054 AMX196610:AMX197054 AWT196610:AWT197054 BGP196610:BGP197054 BQL196610:BQL197054 CAH196610:CAH197054 CKD196610:CKD197054 CTZ196610:CTZ197054 DDV196610:DDV197054 DNR196610:DNR197054 DXN196610:DXN197054 EHJ196610:EHJ197054 ERF196610:ERF197054 FBB196610:FBB197054 FKX196610:FKX197054 FUT196610:FUT197054 GEP196610:GEP197054 GOL196610:GOL197054 GYH196610:GYH197054 HID196610:HID197054 HRZ196610:HRZ197054 IBV196610:IBV197054 ILR196610:ILR197054 IVN196610:IVN197054 JFJ196610:JFJ197054 JPF196610:JPF197054 JZB196610:JZB197054 KIX196610:KIX197054 KST196610:KST197054 LCP196610:LCP197054 LML196610:LML197054 LWH196610:LWH197054 MGD196610:MGD197054 MPZ196610:MPZ197054 MZV196610:MZV197054 NJR196610:NJR197054 NTN196610:NTN197054 ODJ196610:ODJ197054 ONF196610:ONF197054 OXB196610:OXB197054 PGX196610:PGX197054 PQT196610:PQT197054 QAP196610:QAP197054 QKL196610:QKL197054 QUH196610:QUH197054 RED196610:RED197054 RNZ196610:RNZ197054 RXV196610:RXV197054 SHR196610:SHR197054 SRN196610:SRN197054 TBJ196610:TBJ197054 TLF196610:TLF197054 TVB196610:TVB197054 UEX196610:UEX197054 UOT196610:UOT197054 UYP196610:UYP197054 VIL196610:VIL197054 VSH196610:VSH197054 WCD196610:WCD197054 WLZ196610:WLZ197054 WVV196610:WVV197054 N262146:N262590 JJ262146:JJ262590 TF262146:TF262590 ADB262146:ADB262590 AMX262146:AMX262590 AWT262146:AWT262590 BGP262146:BGP262590 BQL262146:BQL262590 CAH262146:CAH262590 CKD262146:CKD262590 CTZ262146:CTZ262590 DDV262146:DDV262590 DNR262146:DNR262590 DXN262146:DXN262590 EHJ262146:EHJ262590 ERF262146:ERF262590 FBB262146:FBB262590 FKX262146:FKX262590 FUT262146:FUT262590 GEP262146:GEP262590 GOL262146:GOL262590 GYH262146:GYH262590 HID262146:HID262590 HRZ262146:HRZ262590 IBV262146:IBV262590 ILR262146:ILR262590 IVN262146:IVN262590 JFJ262146:JFJ262590 JPF262146:JPF262590 JZB262146:JZB262590 KIX262146:KIX262590 KST262146:KST262590 LCP262146:LCP262590 LML262146:LML262590 LWH262146:LWH262590 MGD262146:MGD262590 MPZ262146:MPZ262590 MZV262146:MZV262590 NJR262146:NJR262590 NTN262146:NTN262590 ODJ262146:ODJ262590 ONF262146:ONF262590 OXB262146:OXB262590 PGX262146:PGX262590 PQT262146:PQT262590 QAP262146:QAP262590 QKL262146:QKL262590 QUH262146:QUH262590 RED262146:RED262590 RNZ262146:RNZ262590 RXV262146:RXV262590 SHR262146:SHR262590 SRN262146:SRN262590 TBJ262146:TBJ262590 TLF262146:TLF262590 TVB262146:TVB262590 UEX262146:UEX262590 UOT262146:UOT262590 UYP262146:UYP262590 VIL262146:VIL262590 VSH262146:VSH262590 WCD262146:WCD262590 WLZ262146:WLZ262590 WVV262146:WVV262590 N327682:N328126 JJ327682:JJ328126 TF327682:TF328126 ADB327682:ADB328126 AMX327682:AMX328126 AWT327682:AWT328126 BGP327682:BGP328126 BQL327682:BQL328126 CAH327682:CAH328126 CKD327682:CKD328126 CTZ327682:CTZ328126 DDV327682:DDV328126 DNR327682:DNR328126 DXN327682:DXN328126 EHJ327682:EHJ328126 ERF327682:ERF328126 FBB327682:FBB328126 FKX327682:FKX328126 FUT327682:FUT328126 GEP327682:GEP328126 GOL327682:GOL328126 GYH327682:GYH328126 HID327682:HID328126 HRZ327682:HRZ328126 IBV327682:IBV328126 ILR327682:ILR328126 IVN327682:IVN328126 JFJ327682:JFJ328126 JPF327682:JPF328126 JZB327682:JZB328126 KIX327682:KIX328126 KST327682:KST328126 LCP327682:LCP328126 LML327682:LML328126 LWH327682:LWH328126 MGD327682:MGD328126 MPZ327682:MPZ328126 MZV327682:MZV328126 NJR327682:NJR328126 NTN327682:NTN328126 ODJ327682:ODJ328126 ONF327682:ONF328126 OXB327682:OXB328126 PGX327682:PGX328126 PQT327682:PQT328126 QAP327682:QAP328126 QKL327682:QKL328126 QUH327682:QUH328126 RED327682:RED328126 RNZ327682:RNZ328126 RXV327682:RXV328126 SHR327682:SHR328126 SRN327682:SRN328126 TBJ327682:TBJ328126 TLF327682:TLF328126 TVB327682:TVB328126 UEX327682:UEX328126 UOT327682:UOT328126 UYP327682:UYP328126 VIL327682:VIL328126 VSH327682:VSH328126 WCD327682:WCD328126 WLZ327682:WLZ328126 WVV327682:WVV328126 N393218:N393662 JJ393218:JJ393662 TF393218:TF393662 ADB393218:ADB393662 AMX393218:AMX393662 AWT393218:AWT393662 BGP393218:BGP393662 BQL393218:BQL393662 CAH393218:CAH393662 CKD393218:CKD393662 CTZ393218:CTZ393662 DDV393218:DDV393662 DNR393218:DNR393662 DXN393218:DXN393662 EHJ393218:EHJ393662 ERF393218:ERF393662 FBB393218:FBB393662 FKX393218:FKX393662 FUT393218:FUT393662 GEP393218:GEP393662 GOL393218:GOL393662 GYH393218:GYH393662 HID393218:HID393662 HRZ393218:HRZ393662 IBV393218:IBV393662 ILR393218:ILR393662 IVN393218:IVN393662 JFJ393218:JFJ393662 JPF393218:JPF393662 JZB393218:JZB393662 KIX393218:KIX393662 KST393218:KST393662 LCP393218:LCP393662 LML393218:LML393662 LWH393218:LWH393662 MGD393218:MGD393662 MPZ393218:MPZ393662 MZV393218:MZV393662 NJR393218:NJR393662 NTN393218:NTN393662 ODJ393218:ODJ393662 ONF393218:ONF393662 OXB393218:OXB393662 PGX393218:PGX393662 PQT393218:PQT393662 QAP393218:QAP393662 QKL393218:QKL393662 QUH393218:QUH393662 RED393218:RED393662 RNZ393218:RNZ393662 RXV393218:RXV393662 SHR393218:SHR393662 SRN393218:SRN393662 TBJ393218:TBJ393662 TLF393218:TLF393662 TVB393218:TVB393662 UEX393218:UEX393662 UOT393218:UOT393662 UYP393218:UYP393662 VIL393218:VIL393662 VSH393218:VSH393662 WCD393218:WCD393662 WLZ393218:WLZ393662 WVV393218:WVV393662 N458754:N459198 JJ458754:JJ459198 TF458754:TF459198 ADB458754:ADB459198 AMX458754:AMX459198 AWT458754:AWT459198 BGP458754:BGP459198 BQL458754:BQL459198 CAH458754:CAH459198 CKD458754:CKD459198 CTZ458754:CTZ459198 DDV458754:DDV459198 DNR458754:DNR459198 DXN458754:DXN459198 EHJ458754:EHJ459198 ERF458754:ERF459198 FBB458754:FBB459198 FKX458754:FKX459198 FUT458754:FUT459198 GEP458754:GEP459198 GOL458754:GOL459198 GYH458754:GYH459198 HID458754:HID459198 HRZ458754:HRZ459198 IBV458754:IBV459198 ILR458754:ILR459198 IVN458754:IVN459198 JFJ458754:JFJ459198 JPF458754:JPF459198 JZB458754:JZB459198 KIX458754:KIX459198 KST458754:KST459198 LCP458754:LCP459198 LML458754:LML459198 LWH458754:LWH459198 MGD458754:MGD459198 MPZ458754:MPZ459198 MZV458754:MZV459198 NJR458754:NJR459198 NTN458754:NTN459198 ODJ458754:ODJ459198 ONF458754:ONF459198 OXB458754:OXB459198 PGX458754:PGX459198 PQT458754:PQT459198 QAP458754:QAP459198 QKL458754:QKL459198 QUH458754:QUH459198 RED458754:RED459198 RNZ458754:RNZ459198 RXV458754:RXV459198 SHR458754:SHR459198 SRN458754:SRN459198 TBJ458754:TBJ459198 TLF458754:TLF459198 TVB458754:TVB459198 UEX458754:UEX459198 UOT458754:UOT459198 UYP458754:UYP459198 VIL458754:VIL459198 VSH458754:VSH459198 WCD458754:WCD459198 WLZ458754:WLZ459198 WVV458754:WVV459198 N524290:N524734 JJ524290:JJ524734 TF524290:TF524734 ADB524290:ADB524734 AMX524290:AMX524734 AWT524290:AWT524734 BGP524290:BGP524734 BQL524290:BQL524734 CAH524290:CAH524734 CKD524290:CKD524734 CTZ524290:CTZ524734 DDV524290:DDV524734 DNR524290:DNR524734 DXN524290:DXN524734 EHJ524290:EHJ524734 ERF524290:ERF524734 FBB524290:FBB524734 FKX524290:FKX524734 FUT524290:FUT524734 GEP524290:GEP524734 GOL524290:GOL524734 GYH524290:GYH524734 HID524290:HID524734 HRZ524290:HRZ524734 IBV524290:IBV524734 ILR524290:ILR524734 IVN524290:IVN524734 JFJ524290:JFJ524734 JPF524290:JPF524734 JZB524290:JZB524734 KIX524290:KIX524734 KST524290:KST524734 LCP524290:LCP524734 LML524290:LML524734 LWH524290:LWH524734 MGD524290:MGD524734 MPZ524290:MPZ524734 MZV524290:MZV524734 NJR524290:NJR524734 NTN524290:NTN524734 ODJ524290:ODJ524734 ONF524290:ONF524734 OXB524290:OXB524734 PGX524290:PGX524734 PQT524290:PQT524734 QAP524290:QAP524734 QKL524290:QKL524734 QUH524290:QUH524734 RED524290:RED524734 RNZ524290:RNZ524734 RXV524290:RXV524734 SHR524290:SHR524734 SRN524290:SRN524734 TBJ524290:TBJ524734 TLF524290:TLF524734 TVB524290:TVB524734 UEX524290:UEX524734 UOT524290:UOT524734 UYP524290:UYP524734 VIL524290:VIL524734 VSH524290:VSH524734 WCD524290:WCD524734 WLZ524290:WLZ524734 WVV524290:WVV524734 N589826:N590270 JJ589826:JJ590270 TF589826:TF590270 ADB589826:ADB590270 AMX589826:AMX590270 AWT589826:AWT590270 BGP589826:BGP590270 BQL589826:BQL590270 CAH589826:CAH590270 CKD589826:CKD590270 CTZ589826:CTZ590270 DDV589826:DDV590270 DNR589826:DNR590270 DXN589826:DXN590270 EHJ589826:EHJ590270 ERF589826:ERF590270 FBB589826:FBB590270 FKX589826:FKX590270 FUT589826:FUT590270 GEP589826:GEP590270 GOL589826:GOL590270 GYH589826:GYH590270 HID589826:HID590270 HRZ589826:HRZ590270 IBV589826:IBV590270 ILR589826:ILR590270 IVN589826:IVN590270 JFJ589826:JFJ590270 JPF589826:JPF590270 JZB589826:JZB590270 KIX589826:KIX590270 KST589826:KST590270 LCP589826:LCP590270 LML589826:LML590270 LWH589826:LWH590270 MGD589826:MGD590270 MPZ589826:MPZ590270 MZV589826:MZV590270 NJR589826:NJR590270 NTN589826:NTN590270 ODJ589826:ODJ590270 ONF589826:ONF590270 OXB589826:OXB590270 PGX589826:PGX590270 PQT589826:PQT590270 QAP589826:QAP590270 QKL589826:QKL590270 QUH589826:QUH590270 RED589826:RED590270 RNZ589826:RNZ590270 RXV589826:RXV590270 SHR589826:SHR590270 SRN589826:SRN590270 TBJ589826:TBJ590270 TLF589826:TLF590270 TVB589826:TVB590270 UEX589826:UEX590270 UOT589826:UOT590270 UYP589826:UYP590270 VIL589826:VIL590270 VSH589826:VSH590270 WCD589826:WCD590270 WLZ589826:WLZ590270 WVV589826:WVV590270 N655362:N655806 JJ655362:JJ655806 TF655362:TF655806 ADB655362:ADB655806 AMX655362:AMX655806 AWT655362:AWT655806 BGP655362:BGP655806 BQL655362:BQL655806 CAH655362:CAH655806 CKD655362:CKD655806 CTZ655362:CTZ655806 DDV655362:DDV655806 DNR655362:DNR655806 DXN655362:DXN655806 EHJ655362:EHJ655806 ERF655362:ERF655806 FBB655362:FBB655806 FKX655362:FKX655806 FUT655362:FUT655806 GEP655362:GEP655806 GOL655362:GOL655806 GYH655362:GYH655806 HID655362:HID655806 HRZ655362:HRZ655806 IBV655362:IBV655806 ILR655362:ILR655806 IVN655362:IVN655806 JFJ655362:JFJ655806 JPF655362:JPF655806 JZB655362:JZB655806 KIX655362:KIX655806 KST655362:KST655806 LCP655362:LCP655806 LML655362:LML655806 LWH655362:LWH655806 MGD655362:MGD655806 MPZ655362:MPZ655806 MZV655362:MZV655806 NJR655362:NJR655806 NTN655362:NTN655806 ODJ655362:ODJ655806 ONF655362:ONF655806 OXB655362:OXB655806 PGX655362:PGX655806 PQT655362:PQT655806 QAP655362:QAP655806 QKL655362:QKL655806 QUH655362:QUH655806 RED655362:RED655806 RNZ655362:RNZ655806 RXV655362:RXV655806 SHR655362:SHR655806 SRN655362:SRN655806 TBJ655362:TBJ655806 TLF655362:TLF655806 TVB655362:TVB655806 UEX655362:UEX655806 UOT655362:UOT655806 UYP655362:UYP655806 VIL655362:VIL655806 VSH655362:VSH655806 WCD655362:WCD655806 WLZ655362:WLZ655806 WVV655362:WVV655806 N720898:N721342 JJ720898:JJ721342 TF720898:TF721342 ADB720898:ADB721342 AMX720898:AMX721342 AWT720898:AWT721342 BGP720898:BGP721342 BQL720898:BQL721342 CAH720898:CAH721342 CKD720898:CKD721342 CTZ720898:CTZ721342 DDV720898:DDV721342 DNR720898:DNR721342 DXN720898:DXN721342 EHJ720898:EHJ721342 ERF720898:ERF721342 FBB720898:FBB721342 FKX720898:FKX721342 FUT720898:FUT721342 GEP720898:GEP721342 GOL720898:GOL721342 GYH720898:GYH721342 HID720898:HID721342 HRZ720898:HRZ721342 IBV720898:IBV721342 ILR720898:ILR721342 IVN720898:IVN721342 JFJ720898:JFJ721342 JPF720898:JPF721342 JZB720898:JZB721342 KIX720898:KIX721342 KST720898:KST721342 LCP720898:LCP721342 LML720898:LML721342 LWH720898:LWH721342 MGD720898:MGD721342 MPZ720898:MPZ721342 MZV720898:MZV721342 NJR720898:NJR721342 NTN720898:NTN721342 ODJ720898:ODJ721342 ONF720898:ONF721342 OXB720898:OXB721342 PGX720898:PGX721342 PQT720898:PQT721342 QAP720898:QAP721342 QKL720898:QKL721342 QUH720898:QUH721342 RED720898:RED721342 RNZ720898:RNZ721342 RXV720898:RXV721342 SHR720898:SHR721342 SRN720898:SRN721342 TBJ720898:TBJ721342 TLF720898:TLF721342 TVB720898:TVB721342 UEX720898:UEX721342 UOT720898:UOT721342 UYP720898:UYP721342 VIL720898:VIL721342 VSH720898:VSH721342 WCD720898:WCD721342 WLZ720898:WLZ721342 WVV720898:WVV721342 N786434:N786878 JJ786434:JJ786878 TF786434:TF786878 ADB786434:ADB786878 AMX786434:AMX786878 AWT786434:AWT786878 BGP786434:BGP786878 BQL786434:BQL786878 CAH786434:CAH786878 CKD786434:CKD786878 CTZ786434:CTZ786878 DDV786434:DDV786878 DNR786434:DNR786878 DXN786434:DXN786878 EHJ786434:EHJ786878 ERF786434:ERF786878 FBB786434:FBB786878 FKX786434:FKX786878 FUT786434:FUT786878 GEP786434:GEP786878 GOL786434:GOL786878 GYH786434:GYH786878 HID786434:HID786878 HRZ786434:HRZ786878 IBV786434:IBV786878 ILR786434:ILR786878 IVN786434:IVN786878 JFJ786434:JFJ786878 JPF786434:JPF786878 JZB786434:JZB786878 KIX786434:KIX786878 KST786434:KST786878 LCP786434:LCP786878 LML786434:LML786878 LWH786434:LWH786878 MGD786434:MGD786878 MPZ786434:MPZ786878 MZV786434:MZV786878 NJR786434:NJR786878 NTN786434:NTN786878 ODJ786434:ODJ786878 ONF786434:ONF786878 OXB786434:OXB786878 PGX786434:PGX786878 PQT786434:PQT786878 QAP786434:QAP786878 QKL786434:QKL786878 QUH786434:QUH786878 RED786434:RED786878 RNZ786434:RNZ786878 RXV786434:RXV786878 SHR786434:SHR786878 SRN786434:SRN786878 TBJ786434:TBJ786878 TLF786434:TLF786878 TVB786434:TVB786878 UEX786434:UEX786878 UOT786434:UOT786878 UYP786434:UYP786878 VIL786434:VIL786878 VSH786434:VSH786878 WCD786434:WCD786878 WLZ786434:WLZ786878 WVV786434:WVV786878 N851970:N852414 JJ851970:JJ852414 TF851970:TF852414 ADB851970:ADB852414 AMX851970:AMX852414 AWT851970:AWT852414 BGP851970:BGP852414 BQL851970:BQL852414 CAH851970:CAH852414 CKD851970:CKD852414 CTZ851970:CTZ852414 DDV851970:DDV852414 DNR851970:DNR852414 DXN851970:DXN852414 EHJ851970:EHJ852414 ERF851970:ERF852414 FBB851970:FBB852414 FKX851970:FKX852414 FUT851970:FUT852414 GEP851970:GEP852414 GOL851970:GOL852414 GYH851970:GYH852414 HID851970:HID852414 HRZ851970:HRZ852414 IBV851970:IBV852414 ILR851970:ILR852414 IVN851970:IVN852414 JFJ851970:JFJ852414 JPF851970:JPF852414 JZB851970:JZB852414 KIX851970:KIX852414 KST851970:KST852414 LCP851970:LCP852414 LML851970:LML852414 LWH851970:LWH852414 MGD851970:MGD852414 MPZ851970:MPZ852414 MZV851970:MZV852414 NJR851970:NJR852414 NTN851970:NTN852414 ODJ851970:ODJ852414 ONF851970:ONF852414 OXB851970:OXB852414 PGX851970:PGX852414 PQT851970:PQT852414 QAP851970:QAP852414 QKL851970:QKL852414 QUH851970:QUH852414 RED851970:RED852414 RNZ851970:RNZ852414 RXV851970:RXV852414 SHR851970:SHR852414 SRN851970:SRN852414 TBJ851970:TBJ852414 TLF851970:TLF852414 TVB851970:TVB852414 UEX851970:UEX852414 UOT851970:UOT852414 UYP851970:UYP852414 VIL851970:VIL852414 VSH851970:VSH852414 WCD851970:WCD852414 WLZ851970:WLZ852414 WVV851970:WVV852414 N917506:N917950 JJ917506:JJ917950 TF917506:TF917950 ADB917506:ADB917950 AMX917506:AMX917950 AWT917506:AWT917950 BGP917506:BGP917950 BQL917506:BQL917950 CAH917506:CAH917950 CKD917506:CKD917950 CTZ917506:CTZ917950 DDV917506:DDV917950 DNR917506:DNR917950 DXN917506:DXN917950 EHJ917506:EHJ917950 ERF917506:ERF917950 FBB917506:FBB917950 FKX917506:FKX917950 FUT917506:FUT917950 GEP917506:GEP917950 GOL917506:GOL917950 GYH917506:GYH917950 HID917506:HID917950 HRZ917506:HRZ917950 IBV917506:IBV917950 ILR917506:ILR917950 IVN917506:IVN917950 JFJ917506:JFJ917950 JPF917506:JPF917950 JZB917506:JZB917950 KIX917506:KIX917950 KST917506:KST917950 LCP917506:LCP917950 LML917506:LML917950 LWH917506:LWH917950 MGD917506:MGD917950 MPZ917506:MPZ917950 MZV917506:MZV917950 NJR917506:NJR917950 NTN917506:NTN917950 ODJ917506:ODJ917950 ONF917506:ONF917950 OXB917506:OXB917950 PGX917506:PGX917950 PQT917506:PQT917950 QAP917506:QAP917950 QKL917506:QKL917950 QUH917506:QUH917950 RED917506:RED917950 RNZ917506:RNZ917950 RXV917506:RXV917950 SHR917506:SHR917950 SRN917506:SRN917950 TBJ917506:TBJ917950 TLF917506:TLF917950 TVB917506:TVB917950 UEX917506:UEX917950 UOT917506:UOT917950 UYP917506:UYP917950 VIL917506:VIL917950 VSH917506:VSH917950 WCD917506:WCD917950 WLZ917506:WLZ917950 WVV917506:WVV917950">
      <formula1>"To_analyse,Accepted,Refused,Transfered"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"/>
  <sheetViews>
    <sheetView workbookViewId="0">
      <selection activeCell="E8" sqref="E8"/>
    </sheetView>
  </sheetViews>
  <sheetFormatPr defaultRowHeight="15" x14ac:dyDescent="0.25"/>
  <cols>
    <col min="1" max="1" bestFit="true" customWidth="true" width="6.42578125" collapsed="true"/>
    <col min="2" max="2" bestFit="true" customWidth="true" width="5.28515625" collapsed="true"/>
    <col min="3" max="3" bestFit="true" customWidth="true" width="11.140625" collapsed="true"/>
  </cols>
  <sheetData>
    <row r="1" spans="1:3" x14ac:dyDescent="0.25">
      <c r="A1" s="18" t="s">
        <v>3</v>
      </c>
      <c r="B1" s="18" t="s">
        <v>167</v>
      </c>
      <c r="C1" s="18" t="s">
        <v>168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70"/>
  <sheetViews>
    <sheetView zoomScale="85" zoomScaleNormal="85" workbookViewId="0">
      <pane ySplit="1" topLeftCell="A2" activePane="bottomLeft" state="frozen"/>
      <selection pane="bottomLeft" activeCell="F37" sqref="F37"/>
    </sheetView>
  </sheetViews>
  <sheetFormatPr defaultRowHeight="15" x14ac:dyDescent="0.25"/>
  <cols>
    <col min="1" max="1" bestFit="true" customWidth="true" style="49" width="9.42578125" collapsed="true"/>
    <col min="2" max="2" bestFit="true" customWidth="true" style="2" width="9.0" collapsed="true"/>
    <col min="3" max="3" bestFit="true" customWidth="true" style="2" width="6.7109375" collapsed="true"/>
    <col min="4" max="4" bestFit="true" customWidth="true" style="2" width="34.5703125" collapsed="true"/>
    <col min="5" max="5" bestFit="true" customWidth="true" style="2" width="72.85546875" collapsed="true"/>
    <col min="6" max="6" bestFit="true" customWidth="true" style="2" width="44.28515625" collapsed="true"/>
    <col min="7" max="7" bestFit="true" customWidth="true" style="2" width="20.28515625" collapsed="true"/>
    <col min="8" max="8" bestFit="true" customWidth="true" style="2" width="30.7109375" collapsed="true"/>
    <col min="9" max="9" bestFit="true" customWidth="true" style="2" width="6.42578125" collapsed="true"/>
    <col min="10" max="10" bestFit="true" customWidth="true" style="2" width="19.140625" collapsed="true"/>
    <col min="11" max="11" bestFit="true" customWidth="true" style="2" width="116.7109375" collapsed="true"/>
    <col min="12" max="12" bestFit="true" customWidth="true" style="2" width="24.140625" collapsed="true"/>
    <col min="13" max="13" bestFit="true" customWidth="true" style="2" width="11.5703125" collapsed="true"/>
    <col min="14" max="14" bestFit="true" customWidth="true" style="2" width="12.28515625" collapsed="true"/>
    <col min="15" max="15" bestFit="true" customWidth="true" style="2" width="70.85546875" collapsed="true"/>
    <col min="16" max="16" bestFit="true" customWidth="true" style="2" width="19.85546875" collapsed="true"/>
    <col min="17" max="17" bestFit="true" customWidth="true" style="2" width="10.85546875" collapsed="true"/>
    <col min="18" max="18" bestFit="true" customWidth="true" style="2" width="120.0" collapsed="true"/>
    <col min="19" max="19" bestFit="true" customWidth="true" style="2" width="24.140625" collapsed="true"/>
    <col min="20" max="20" bestFit="true" customWidth="true" style="2" width="17.28515625" collapsed="true"/>
    <col min="21" max="21" bestFit="true" customWidth="true" style="2" width="2.140625" collapsed="true"/>
    <col min="22" max="22" bestFit="true" customWidth="true" style="2" width="2.42578125" collapsed="true"/>
    <col min="23" max="16384" style="2" width="9.140625" collapsed="true"/>
  </cols>
  <sheetData>
    <row r="1" spans="1:22" ht="16.5" thickTop="1" thickBot="1" x14ac:dyDescent="0.3">
      <c r="A1" s="1" t="s">
        <v>201</v>
      </c>
      <c r="B1" s="1" t="s">
        <v>3</v>
      </c>
      <c r="C1" s="11" t="s">
        <v>53</v>
      </c>
      <c r="D1" s="11" t="s">
        <v>54</v>
      </c>
      <c r="E1" s="11"/>
      <c r="F1" s="11" t="s">
        <v>55</v>
      </c>
      <c r="G1" s="11" t="s">
        <v>56</v>
      </c>
      <c r="H1" s="11" t="s">
        <v>57</v>
      </c>
      <c r="I1" s="11" t="s">
        <v>3</v>
      </c>
      <c r="J1" s="11" t="s">
        <v>58</v>
      </c>
      <c r="K1" s="11" t="s">
        <v>31</v>
      </c>
      <c r="L1" s="11" t="s">
        <v>59</v>
      </c>
      <c r="M1" s="11" t="s">
        <v>48</v>
      </c>
      <c r="N1" s="11" t="s">
        <v>60</v>
      </c>
      <c r="O1" s="11" t="s">
        <v>61</v>
      </c>
      <c r="P1" s="11" t="s">
        <v>62</v>
      </c>
      <c r="Q1" s="11" t="s">
        <v>63</v>
      </c>
      <c r="R1" s="11" t="s">
        <v>64</v>
      </c>
      <c r="S1" s="11" t="s">
        <v>65</v>
      </c>
      <c r="T1" s="11" t="s">
        <v>66</v>
      </c>
    </row>
    <row r="2" spans="1:22" ht="15.75" thickTop="1" x14ac:dyDescent="0.25"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</row>
    <row r="3" spans="1:22" x14ac:dyDescent="0.25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</row>
    <row r="4" spans="1:22" x14ac:dyDescent="0.25"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</row>
    <row r="5" spans="1:22" x14ac:dyDescent="0.25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</row>
    <row r="6" spans="1:22" x14ac:dyDescent="0.25"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</row>
    <row r="7" spans="1:22" x14ac:dyDescent="0.25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</row>
    <row r="8" spans="1:22" x14ac:dyDescent="0.25"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</row>
    <row r="9" spans="1:22" x14ac:dyDescent="0.25"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</row>
    <row r="10" spans="1:22" x14ac:dyDescent="0.25"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</row>
    <row r="11" spans="1:22" x14ac:dyDescent="0.25"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</row>
    <row r="12" spans="1:22" x14ac:dyDescent="0.25"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</row>
    <row r="13" spans="1:22" x14ac:dyDescent="0.25"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</row>
    <row r="14" spans="1:22" x14ac:dyDescent="0.25"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</row>
    <row r="15" spans="1:22" x14ac:dyDescent="0.25"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</row>
    <row r="16" spans="1:22" x14ac:dyDescent="0.25"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</row>
    <row r="17" spans="3:22" x14ac:dyDescent="0.25"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</row>
    <row r="18" spans="3:22" x14ac:dyDescent="0.25">
      <c r="C18" s="49"/>
      <c r="D18" s="49"/>
      <c r="E18" s="49"/>
      <c r="F18" s="49"/>
      <c r="G18" s="49"/>
      <c r="H18" s="49"/>
      <c r="I18" s="49"/>
      <c r="J18" s="53"/>
      <c r="K18" s="53"/>
      <c r="L18" s="53"/>
      <c r="M18" s="53"/>
      <c r="N18" s="53"/>
      <c r="O18" s="49"/>
      <c r="P18" s="49"/>
      <c r="Q18" s="49"/>
      <c r="R18" s="49"/>
      <c r="S18" s="49"/>
      <c r="T18" s="49"/>
      <c r="U18" s="49"/>
      <c r="V18" s="49"/>
    </row>
    <row r="19" spans="3:22" x14ac:dyDescent="0.25">
      <c r="C19" s="49"/>
      <c r="D19" s="49"/>
      <c r="E19" s="49"/>
      <c r="F19" s="49"/>
      <c r="G19" s="49"/>
      <c r="H19" s="49"/>
      <c r="I19" s="49"/>
      <c r="J19" s="53"/>
      <c r="K19" s="53"/>
      <c r="L19" s="53"/>
      <c r="M19" s="53"/>
      <c r="N19" s="53"/>
      <c r="O19" s="49"/>
      <c r="P19" s="49"/>
      <c r="Q19" s="49"/>
      <c r="R19" s="49"/>
      <c r="S19" s="49"/>
      <c r="T19" s="49"/>
      <c r="U19" s="49"/>
      <c r="V19" s="49"/>
    </row>
    <row r="20" spans="3:22" x14ac:dyDescent="0.25">
      <c r="C20" s="49"/>
      <c r="D20" s="49"/>
      <c r="E20" s="49"/>
      <c r="F20" s="49"/>
      <c r="G20" s="49"/>
      <c r="H20" s="49"/>
      <c r="I20" s="49"/>
      <c r="J20" s="53"/>
      <c r="K20" s="53"/>
      <c r="L20" s="53"/>
      <c r="M20" s="53"/>
      <c r="N20" s="53"/>
      <c r="O20" s="49"/>
      <c r="P20" s="49"/>
      <c r="Q20" s="49"/>
      <c r="R20" s="49"/>
      <c r="S20" s="49"/>
      <c r="T20" s="49"/>
      <c r="U20" s="49"/>
      <c r="V20" s="49"/>
    </row>
    <row r="21" spans="3:22" x14ac:dyDescent="0.25"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</row>
    <row r="22" spans="3:22" x14ac:dyDescent="0.25"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</row>
    <row r="23" spans="3:22" x14ac:dyDescent="0.25"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</row>
    <row r="24" spans="3:22" x14ac:dyDescent="0.25"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</row>
    <row r="25" spans="3:22" x14ac:dyDescent="0.25"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</row>
    <row r="26" spans="3:22" x14ac:dyDescent="0.25"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</row>
    <row r="27" spans="3:22" x14ac:dyDescent="0.25"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</row>
    <row r="28" spans="3:22" x14ac:dyDescent="0.25"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</row>
    <row r="29" spans="3:22" x14ac:dyDescent="0.25"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</row>
    <row r="30" spans="3:22" x14ac:dyDescent="0.25"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</row>
    <row r="31" spans="3:22" x14ac:dyDescent="0.25"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</row>
    <row r="32" spans="3:22" x14ac:dyDescent="0.25"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</row>
    <row r="33" spans="3:22" x14ac:dyDescent="0.25"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</row>
    <row r="34" spans="3:22" x14ac:dyDescent="0.25"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</row>
    <row r="35" spans="3:22" x14ac:dyDescent="0.25"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</row>
    <row r="36" spans="3:22" x14ac:dyDescent="0.25"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</row>
    <row r="37" spans="3:22" x14ac:dyDescent="0.25"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</row>
    <row r="38" spans="3:22" x14ac:dyDescent="0.25"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</row>
    <row r="39" spans="3:22" x14ac:dyDescent="0.25"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</row>
    <row r="40" spans="3:22" x14ac:dyDescent="0.25"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</row>
    <row r="41" spans="3:22" x14ac:dyDescent="0.25"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</row>
    <row r="42" spans="3:22" x14ac:dyDescent="0.25"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</row>
    <row r="43" spans="3:22" x14ac:dyDescent="0.25"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</row>
    <row r="44" spans="3:22" x14ac:dyDescent="0.25"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</row>
    <row r="45" spans="3:22" x14ac:dyDescent="0.25"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</row>
    <row r="46" spans="3:22" x14ac:dyDescent="0.25"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</row>
    <row r="47" spans="3:22" x14ac:dyDescent="0.25"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</row>
    <row r="48" spans="3:22" x14ac:dyDescent="0.25"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</row>
    <row r="49" spans="3:22" x14ac:dyDescent="0.25"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</row>
    <row r="50" spans="3:22" x14ac:dyDescent="0.25"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</row>
    <row r="51" spans="3:22" x14ac:dyDescent="0.25"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</row>
    <row r="52" spans="3:22" x14ac:dyDescent="0.25"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</row>
    <row r="53" spans="3:22" x14ac:dyDescent="0.25"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</row>
    <row r="54" spans="3:22" x14ac:dyDescent="0.25"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</row>
    <row r="55" spans="3:22" x14ac:dyDescent="0.25"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</row>
    <row r="56" spans="3:22" x14ac:dyDescent="0.25"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</row>
    <row r="57" spans="3:22" x14ac:dyDescent="0.25"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</row>
    <row r="58" spans="3:22" x14ac:dyDescent="0.25"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</row>
    <row r="59" spans="3:22" x14ac:dyDescent="0.25"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</row>
    <row r="60" spans="3:22" x14ac:dyDescent="0.25"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</row>
    <row r="61" spans="3:22" x14ac:dyDescent="0.25"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</row>
    <row r="62" spans="3:22" x14ac:dyDescent="0.25"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</row>
    <row r="63" spans="3:22" x14ac:dyDescent="0.25"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</row>
    <row r="64" spans="3:22" x14ac:dyDescent="0.25"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</row>
    <row r="65" spans="3:22" x14ac:dyDescent="0.25"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</row>
    <row r="66" spans="3:22" x14ac:dyDescent="0.25"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53"/>
      <c r="R66" s="53"/>
      <c r="S66" s="53"/>
      <c r="T66" s="53"/>
      <c r="U66" s="49"/>
      <c r="V66" s="49"/>
    </row>
    <row r="67" spans="3:22" x14ac:dyDescent="0.25"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53"/>
      <c r="R67" s="53"/>
      <c r="S67" s="53"/>
      <c r="T67" s="53"/>
      <c r="U67" s="49"/>
      <c r="V67" s="49"/>
    </row>
    <row r="68" spans="3:22" x14ac:dyDescent="0.25"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</row>
    <row r="69" spans="3:22" x14ac:dyDescent="0.25"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</row>
    <row r="70" spans="3:22" x14ac:dyDescent="0.25"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</row>
    <row r="71" spans="3:22" x14ac:dyDescent="0.25"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</row>
    <row r="72" spans="3:22" x14ac:dyDescent="0.25"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</row>
    <row r="73" spans="3:22" x14ac:dyDescent="0.25"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</row>
    <row r="74" spans="3:22" x14ac:dyDescent="0.25"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53"/>
      <c r="R74" s="53"/>
      <c r="S74" s="53"/>
      <c r="T74" s="53"/>
      <c r="U74" s="49"/>
      <c r="V74" s="49"/>
    </row>
    <row r="75" spans="3:22" x14ac:dyDescent="0.25"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53"/>
      <c r="R75" s="53"/>
      <c r="S75" s="53"/>
      <c r="T75" s="53"/>
      <c r="U75" s="49"/>
      <c r="V75" s="49"/>
    </row>
    <row r="76" spans="3:22" x14ac:dyDescent="0.25"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</row>
    <row r="77" spans="3:22" x14ac:dyDescent="0.25"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</row>
    <row r="78" spans="3:22" x14ac:dyDescent="0.25"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</row>
    <row r="79" spans="3:22" x14ac:dyDescent="0.25"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</row>
    <row r="80" spans="3:22" x14ac:dyDescent="0.25"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</row>
    <row r="81" spans="3:22" x14ac:dyDescent="0.25"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</row>
    <row r="82" spans="3:22" x14ac:dyDescent="0.25"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</row>
    <row r="83" spans="3:22" x14ac:dyDescent="0.25"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</row>
    <row r="84" spans="3:22" x14ac:dyDescent="0.25"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</row>
    <row r="85" spans="3:22" x14ac:dyDescent="0.25"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</row>
    <row r="86" spans="3:22" x14ac:dyDescent="0.25"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</row>
    <row r="87" spans="3:22" x14ac:dyDescent="0.25"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</row>
    <row r="88" spans="3:22" x14ac:dyDescent="0.25"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</row>
    <row r="89" spans="3:22" x14ac:dyDescent="0.25"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</row>
    <row r="90" spans="3:22" x14ac:dyDescent="0.25"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</row>
    <row r="91" spans="3:22" x14ac:dyDescent="0.25"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</row>
    <row r="92" spans="3:22" x14ac:dyDescent="0.25"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</row>
    <row r="93" spans="3:22" x14ac:dyDescent="0.25"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</row>
    <row r="94" spans="3:22" x14ac:dyDescent="0.25"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</row>
    <row r="95" spans="3:22" x14ac:dyDescent="0.25"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</row>
    <row r="96" spans="3:22" x14ac:dyDescent="0.25"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</row>
    <row r="97" spans="3:22" x14ac:dyDescent="0.25"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</row>
    <row r="98" spans="3:22" x14ac:dyDescent="0.25"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</row>
    <row r="99" spans="3:22" x14ac:dyDescent="0.25"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</row>
    <row r="100" spans="3:22" x14ac:dyDescent="0.25"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</row>
    <row r="101" spans="3:22" x14ac:dyDescent="0.25"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</row>
    <row r="102" spans="3:22" x14ac:dyDescent="0.25"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</row>
    <row r="103" spans="3:22" x14ac:dyDescent="0.25"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</row>
    <row r="104" spans="3:22" x14ac:dyDescent="0.25"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</row>
    <row r="105" spans="3:22" x14ac:dyDescent="0.25"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</row>
    <row r="106" spans="3:22" x14ac:dyDescent="0.25"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</row>
    <row r="107" spans="3:22" x14ac:dyDescent="0.25"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</row>
    <row r="108" spans="3:22" x14ac:dyDescent="0.25"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</row>
    <row r="109" spans="3:22" x14ac:dyDescent="0.25"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</row>
    <row r="110" spans="3:22" x14ac:dyDescent="0.25"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</row>
    <row r="111" spans="3:22" x14ac:dyDescent="0.25"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</row>
    <row r="112" spans="3:22" x14ac:dyDescent="0.25"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</row>
    <row r="113" spans="3:22" x14ac:dyDescent="0.25"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</row>
    <row r="114" spans="3:22" x14ac:dyDescent="0.25"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</row>
    <row r="115" spans="3:22" x14ac:dyDescent="0.25"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</row>
    <row r="116" spans="3:22" x14ac:dyDescent="0.25"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</row>
    <row r="117" spans="3:22" x14ac:dyDescent="0.25"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</row>
    <row r="118" spans="3:22" x14ac:dyDescent="0.25"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</row>
    <row r="119" spans="3:22" x14ac:dyDescent="0.25"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</row>
    <row r="120" spans="3:22" x14ac:dyDescent="0.25"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</row>
    <row r="121" spans="3:22" x14ac:dyDescent="0.25"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</row>
    <row r="122" spans="3:22" x14ac:dyDescent="0.25"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</row>
    <row r="123" spans="3:22" x14ac:dyDescent="0.25"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</row>
    <row r="124" spans="3:22" x14ac:dyDescent="0.25"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</row>
    <row r="125" spans="3:22" x14ac:dyDescent="0.25"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</row>
    <row r="126" spans="3:22" x14ac:dyDescent="0.25"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</row>
    <row r="127" spans="3:22" x14ac:dyDescent="0.25"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</row>
    <row r="128" spans="3:22" x14ac:dyDescent="0.25"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</row>
    <row r="129" spans="3:22" x14ac:dyDescent="0.25"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</row>
    <row r="130" spans="3:22" x14ac:dyDescent="0.25"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</row>
    <row r="131" spans="3:22" x14ac:dyDescent="0.25"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</row>
    <row r="132" spans="3:22" x14ac:dyDescent="0.25"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</row>
    <row r="133" spans="3:22" x14ac:dyDescent="0.25"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</row>
    <row r="134" spans="3:22" x14ac:dyDescent="0.25"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</row>
    <row r="135" spans="3:22" x14ac:dyDescent="0.25"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</row>
    <row r="136" spans="3:22" x14ac:dyDescent="0.25"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</row>
    <row r="137" spans="3:22" x14ac:dyDescent="0.25"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</row>
    <row r="138" spans="3:22" x14ac:dyDescent="0.25">
      <c r="C138" s="49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</row>
    <row r="139" spans="3:22" x14ac:dyDescent="0.25"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</row>
    <row r="140" spans="3:22" x14ac:dyDescent="0.25">
      <c r="C140" s="49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</row>
    <row r="141" spans="3:22" x14ac:dyDescent="0.25"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</row>
    <row r="142" spans="3:22" x14ac:dyDescent="0.25"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</row>
    <row r="143" spans="3:22" x14ac:dyDescent="0.25"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</row>
    <row r="144" spans="3:22" x14ac:dyDescent="0.25"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  <c r="V144" s="49"/>
    </row>
    <row r="145" spans="3:22" x14ac:dyDescent="0.25"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  <c r="V145" s="49"/>
    </row>
    <row r="146" spans="3:22" x14ac:dyDescent="0.25"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  <c r="V146" s="49"/>
    </row>
    <row r="147" spans="3:22" x14ac:dyDescent="0.25"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  <c r="V147" s="49"/>
    </row>
    <row r="148" spans="3:22" x14ac:dyDescent="0.25"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</row>
    <row r="149" spans="3:22" x14ac:dyDescent="0.25"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</row>
    <row r="150" spans="3:22" x14ac:dyDescent="0.25"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</row>
    <row r="151" spans="3:22" x14ac:dyDescent="0.25"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</row>
    <row r="152" spans="3:22" x14ac:dyDescent="0.25"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</row>
    <row r="153" spans="3:22" x14ac:dyDescent="0.25"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</row>
    <row r="154" spans="3:22" x14ac:dyDescent="0.25"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</row>
    <row r="155" spans="3:22" x14ac:dyDescent="0.25"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</row>
    <row r="156" spans="3:22" x14ac:dyDescent="0.25"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</row>
    <row r="157" spans="3:22" x14ac:dyDescent="0.25"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</row>
    <row r="158" spans="3:22" x14ac:dyDescent="0.25"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</row>
    <row r="159" spans="3:22" x14ac:dyDescent="0.25"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</row>
    <row r="160" spans="3:22" x14ac:dyDescent="0.25"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</row>
    <row r="161" spans="3:22" x14ac:dyDescent="0.25"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</row>
    <row r="162" spans="3:22" x14ac:dyDescent="0.25"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</row>
    <row r="163" spans="3:22" x14ac:dyDescent="0.25"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</row>
    <row r="164" spans="3:22" x14ac:dyDescent="0.25">
      <c r="C164" s="49"/>
      <c r="D164" s="49"/>
      <c r="E164" s="49"/>
      <c r="F164" s="49"/>
      <c r="G164" s="49"/>
      <c r="H164" s="49"/>
      <c r="I164" s="49"/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</row>
    <row r="165" spans="3:22" x14ac:dyDescent="0.25">
      <c r="C165" s="49"/>
      <c r="D165" s="49"/>
      <c r="E165" s="49"/>
      <c r="F165" s="49"/>
      <c r="G165" s="49"/>
      <c r="H165" s="49"/>
      <c r="I165" s="49"/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</row>
    <row r="166" spans="3:22" x14ac:dyDescent="0.25">
      <c r="C166" s="49"/>
      <c r="D166" s="49"/>
      <c r="E166" s="49"/>
      <c r="F166" s="49"/>
      <c r="G166" s="49"/>
      <c r="H166" s="49"/>
      <c r="I166" s="49"/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</row>
    <row r="167" spans="3:22" x14ac:dyDescent="0.25">
      <c r="C167" s="49"/>
      <c r="D167" s="49"/>
      <c r="E167" s="49"/>
      <c r="F167" s="49"/>
      <c r="G167" s="49"/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</row>
    <row r="168" spans="3:22" x14ac:dyDescent="0.25">
      <c r="C168" s="49"/>
      <c r="D168" s="49"/>
      <c r="E168" s="49"/>
      <c r="F168" s="49"/>
      <c r="G168" s="49"/>
      <c r="H168" s="49"/>
      <c r="I168" s="49"/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</row>
    <row r="169" spans="3:22" x14ac:dyDescent="0.25">
      <c r="C169" s="49"/>
      <c r="D169" s="49"/>
      <c r="E169" s="49"/>
      <c r="F169" s="49"/>
      <c r="G169" s="49"/>
      <c r="H169" s="49"/>
      <c r="I169" s="49"/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</row>
    <row r="170" spans="3:22" x14ac:dyDescent="0.25">
      <c r="C170" s="49"/>
      <c r="D170" s="49"/>
      <c r="E170" s="49"/>
      <c r="F170" s="49"/>
      <c r="G170" s="49"/>
      <c r="H170" s="49"/>
      <c r="I170" s="49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9" id="{5FBFD6B1-E038-4DB9-B772-386A2393E8C6}">
            <xm:f>$B2=myStatus!$A$5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0B12AC8E-38E4-4CD5-B1BD-4D19726F9FB1}">
            <xm:f>$B2=myStatus!$A$4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1" id="{6FFF89AD-6A0D-4D3C-BA97-A6058FF16DA3}">
            <xm:f>$B2=myStatus!$A$3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B2:T1048576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zoomScale="85" zoomScaleNormal="85" workbookViewId="0">
      <pane ySplit="2" topLeftCell="A3" activePane="bottomLeft" state="frozen"/>
      <selection pane="bottomLeft" activeCell="H13" sqref="H13"/>
    </sheetView>
  </sheetViews>
  <sheetFormatPr defaultRowHeight="15" x14ac:dyDescent="0.25"/>
  <cols>
    <col min="1" max="1" bestFit="true" customWidth="true" style="2" width="9.42578125" collapsed="true"/>
    <col min="2" max="2" bestFit="true" customWidth="true" style="2" width="6.42578125" collapsed="true"/>
    <col min="3" max="3" bestFit="true" customWidth="true" style="2" width="5.28515625" collapsed="true"/>
    <col min="4" max="4" bestFit="true" customWidth="true" style="2" width="10.85546875" collapsed="true"/>
    <col min="5" max="5" bestFit="true" customWidth="true" style="2" width="16.42578125" collapsed="true"/>
    <col min="6" max="6" bestFit="true" customWidth="true" style="2" width="12.7109375" collapsed="true"/>
    <col min="7" max="7" bestFit="true" customWidth="true" style="2" width="6.5703125" collapsed="true"/>
    <col min="8" max="8" bestFit="true" customWidth="true" style="2" width="12.0" collapsed="true"/>
    <col min="9" max="9" bestFit="true" customWidth="true" style="2" width="11.42578125" collapsed="true"/>
    <col min="10" max="10" bestFit="true" customWidth="true" style="2" width="12.42578125" collapsed="true"/>
    <col min="11" max="11" bestFit="true" customWidth="true" style="2" width="11.140625" collapsed="true"/>
    <col min="12" max="12" bestFit="true" customWidth="true" style="2" width="15.140625" collapsed="true"/>
    <col min="13" max="13" bestFit="true" customWidth="true" style="2" width="10.0" collapsed="true"/>
    <col min="14" max="14" bestFit="true" customWidth="true" style="2" width="10.28515625" collapsed="true"/>
    <col min="15" max="15" bestFit="true" customWidth="true" style="2" width="11.5703125" collapsed="true"/>
    <col min="16" max="16" bestFit="true" customWidth="true" style="2" width="12.140625" collapsed="true"/>
    <col min="17" max="17" bestFit="true" customWidth="true" style="2" width="11.42578125" collapsed="true"/>
    <col min="18" max="18" bestFit="true" customWidth="true" style="2" width="17.7109375" collapsed="true"/>
    <col min="19" max="19" bestFit="true" customWidth="true" style="2" width="12.0" collapsed="true"/>
    <col min="20" max="20" bestFit="true" customWidth="true" style="2" width="10.5703125" collapsed="true"/>
    <col min="21" max="16384" style="2" width="9.140625" collapsed="true"/>
  </cols>
  <sheetData>
    <row r="1" spans="1:21" ht="15.75" thickBot="1" x14ac:dyDescent="0.3">
      <c r="A1" s="17" t="s">
        <v>83</v>
      </c>
      <c r="B1"/>
      <c r="C1" s="77"/>
      <c r="D1" s="77"/>
      <c r="E1" s="77"/>
      <c r="H1" s="77"/>
      <c r="I1" s="77"/>
      <c r="J1" s="77"/>
      <c r="K1" s="77"/>
      <c r="L1" s="77"/>
      <c r="M1" s="77"/>
      <c r="N1" s="77"/>
      <c r="O1" s="77"/>
      <c r="P1" s="77"/>
      <c r="Q1" s="77"/>
    </row>
    <row r="2" spans="1:21" s="9" customFormat="1" ht="16.5" thickTop="1" thickBot="1" x14ac:dyDescent="0.3">
      <c r="A2" s="1" t="s">
        <v>53</v>
      </c>
      <c r="B2" s="1" t="s">
        <v>3</v>
      </c>
      <c r="C2" s="1" t="s">
        <v>206</v>
      </c>
      <c r="D2" s="1" t="s">
        <v>207</v>
      </c>
      <c r="E2" s="1" t="s">
        <v>39</v>
      </c>
      <c r="F2" s="1" t="s">
        <v>40</v>
      </c>
      <c r="G2" s="1" t="s">
        <v>81</v>
      </c>
      <c r="H2" s="1" t="s">
        <v>41</v>
      </c>
      <c r="I2" s="1" t="s">
        <v>42</v>
      </c>
      <c r="J2" s="1" t="s">
        <v>43</v>
      </c>
      <c r="K2" s="1" t="s">
        <v>44</v>
      </c>
      <c r="L2" s="1" t="s">
        <v>45</v>
      </c>
      <c r="M2" s="1" t="s">
        <v>46</v>
      </c>
      <c r="N2" s="1" t="s">
        <v>47</v>
      </c>
      <c r="O2" s="1" t="s">
        <v>48</v>
      </c>
      <c r="P2" s="1" t="s">
        <v>49</v>
      </c>
      <c r="Q2" s="1" t="s">
        <v>50</v>
      </c>
      <c r="R2" s="1" t="s">
        <v>52</v>
      </c>
      <c r="S2" s="1" t="s">
        <v>51</v>
      </c>
      <c r="T2" s="1" t="s">
        <v>8</v>
      </c>
      <c r="U2" s="49"/>
    </row>
    <row r="3" spans="1:21" s="9" customFormat="1" ht="15.75" thickTop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</customSheetView>
  </customSheetViews>
  <mergeCells count="2">
    <mergeCell ref="C1:E1"/>
    <mergeCell ref="H1:Q1"/>
  </mergeCells>
  <hyperlinks>
    <hyperlink ref="A1" location="Summary!A1" display="Summary"/>
  </hyperlink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88F1653B-04B2-4718-A898-6676E84AA3C8}">
            <xm:f>$A3=myStatus!$A$5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9EF03FF-9978-431E-B457-85D70229CFCD}">
            <xm:f>$A3=myStatus!$A$4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3398CF9A-4AB2-4DFE-A078-7E4421E53F14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A3:P1048576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"/>
  <sheetViews>
    <sheetView zoomScale="85" zoomScaleNormal="85" workbookViewId="0">
      <pane ySplit="2" topLeftCell="A3" activePane="bottomLeft" state="frozen"/>
      <selection pane="bottomLeft" activeCell="C2" sqref="C2"/>
    </sheetView>
  </sheetViews>
  <sheetFormatPr defaultRowHeight="15" x14ac:dyDescent="0.25"/>
  <cols>
    <col min="1" max="1" bestFit="true" customWidth="true" style="2" width="9.42578125" collapsed="true"/>
    <col min="2" max="2" customWidth="true" style="2" width="13.42578125" collapsed="true"/>
    <col min="3" max="3" bestFit="true" customWidth="true" style="2" width="8.140625" collapsed="true"/>
    <col min="4" max="4" bestFit="true" customWidth="true" style="2" width="47.85546875" collapsed="true"/>
    <col min="5" max="5" bestFit="true" customWidth="true" style="2" width="86.140625" collapsed="true"/>
    <col min="6" max="6" bestFit="true" customWidth="true" style="2" width="189.85546875" collapsed="true"/>
    <col min="7" max="16384" style="2" width="9.140625" collapsed="true"/>
  </cols>
  <sheetData>
    <row r="1" spans="1:6" ht="15.75" thickBot="1" x14ac:dyDescent="0.3">
      <c r="A1" s="13" t="s">
        <v>83</v>
      </c>
      <c r="B1" s="13"/>
      <c r="C1" s="13"/>
      <c r="D1" s="13"/>
      <c r="E1" s="13"/>
      <c r="F1" s="13"/>
    </row>
    <row r="2" spans="1:6" ht="15.75" thickTop="1" x14ac:dyDescent="0.25">
      <c r="A2" s="15" t="s">
        <v>3</v>
      </c>
      <c r="B2" s="52" t="s">
        <v>67</v>
      </c>
      <c r="C2" s="52" t="s">
        <v>210</v>
      </c>
      <c r="D2" s="52" t="s">
        <v>68</v>
      </c>
      <c r="E2" s="52" t="s">
        <v>69</v>
      </c>
      <c r="F2" s="52" t="s">
        <v>70</v>
      </c>
    </row>
    <row r="3" spans="1:6" x14ac:dyDescent="0.25">
      <c r="E3" s="53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8" id="{64983D1F-B214-45D7-B288-131AD3B39C12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79" id="{F6C42FAF-9328-46E7-814B-24D4D253D63F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80" id="{2B7D3459-F674-427A-8621-E53BB61F1A56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5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9" width="48.5703125" collapsed="true"/>
    <col min="2" max="2" bestFit="true" customWidth="true" style="49" width="9.7109375" collapsed="true"/>
    <col min="3" max="3" bestFit="true" customWidth="true" style="49" width="8.5703125" collapsed="true"/>
    <col min="4" max="4" bestFit="true" customWidth="true" style="49" width="15.0" collapsed="true"/>
    <col min="5" max="5" bestFit="true" customWidth="true" style="49" width="8.0" collapsed="true"/>
    <col min="6" max="6" bestFit="true" customWidth="true" style="49" width="39.0" collapsed="true"/>
    <col min="7" max="7" bestFit="true" customWidth="true" style="49" width="17.7109375" collapsed="true"/>
    <col min="8" max="10" bestFit="true" customWidth="true" style="49" width="255.7109375" collapsed="true"/>
    <col min="11" max="11" bestFit="true" customWidth="true" style="49" width="18.28515625" collapsed="true"/>
    <col min="12" max="16384" style="49" width="9.140625" collapsed="true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49"/>
    </row>
    <row r="2" spans="1:12" s="19" customFormat="1" ht="15.75" thickTop="1" x14ac:dyDescent="0.25"/>
    <row r="3" spans="1:12" s="19" customFormat="1" x14ac:dyDescent="0.25"/>
    <row r="4" spans="1:12" s="19" customFormat="1" x14ac:dyDescent="0.25"/>
    <row r="5" spans="1:12" s="19" customFormat="1" x14ac:dyDescent="0.25"/>
    <row r="6" spans="1:12" s="19" customFormat="1" x14ac:dyDescent="0.25"/>
    <row r="7" spans="1:12" s="19" customFormat="1" x14ac:dyDescent="0.25"/>
    <row r="8" spans="1:12" s="19" customFormat="1" x14ac:dyDescent="0.25"/>
    <row r="9" spans="1:12" s="19" customFormat="1" x14ac:dyDescent="0.25"/>
    <row r="10" spans="1:12" s="19" customFormat="1" x14ac:dyDescent="0.25"/>
    <row r="11" spans="1:12" s="19" customFormat="1" x14ac:dyDescent="0.25"/>
    <row r="12" spans="1:12" s="19" customFormat="1" x14ac:dyDescent="0.25"/>
    <row r="13" spans="1:12" s="19" customFormat="1" x14ac:dyDescent="0.25"/>
    <row r="14" spans="1:12" s="19" customFormat="1" x14ac:dyDescent="0.25"/>
    <row r="15" spans="1:12" s="19" customFormat="1" x14ac:dyDescent="0.25"/>
    <row r="16" spans="1:12" s="19" customFormat="1" x14ac:dyDescent="0.25"/>
    <row r="17" s="19" customFormat="1" x14ac:dyDescent="0.25"/>
    <row r="18" s="19" customFormat="1" x14ac:dyDescent="0.25"/>
    <row r="19" s="19" customFormat="1" x14ac:dyDescent="0.25"/>
    <row r="20" s="19" customFormat="1" x14ac:dyDescent="0.25"/>
    <row r="21" s="19" customFormat="1" x14ac:dyDescent="0.25"/>
    <row r="22" s="19" customFormat="1" x14ac:dyDescent="0.25"/>
    <row r="23" s="19" customFormat="1" x14ac:dyDescent="0.25"/>
    <row r="24" s="19" customFormat="1" x14ac:dyDescent="0.25"/>
    <row r="25" s="19" customFormat="1" x14ac:dyDescent="0.25"/>
  </sheetData>
  <autoFilter ref="A1:L60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591DACC-3478-4E7D-8E39-DAD579E41C9A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6041E8A2-A469-49F0-80D4-63269D322AD6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27C8CF1C-4F11-494A-A299-2E5A1865895D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4" id="{CE34AFF0-C0FD-4659-A095-19063979654C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" id="{61B0AB2D-8629-4915-B166-3B4991B6066A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E2D47F42-4BFD-412F-A2EC-63E9E62A9B51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53"/>
  <sheetViews>
    <sheetView zoomScale="85" zoomScaleNormal="85" workbookViewId="0">
      <pane ySplit="2" topLeftCell="A3" activePane="bottomLeft" state="frozen"/>
      <selection pane="bottomLeft" activeCell="J8" sqref="J8"/>
    </sheetView>
  </sheetViews>
  <sheetFormatPr defaultRowHeight="15" x14ac:dyDescent="0.25"/>
  <cols>
    <col min="1" max="1" bestFit="true" customWidth="true" style="5" width="9.42578125" collapsed="true"/>
    <col min="2" max="2" bestFit="true" customWidth="true" style="5" width="9.28515625" collapsed="true"/>
    <col min="3" max="3" bestFit="true" customWidth="true" style="5" width="10.42578125" collapsed="true"/>
    <col min="4" max="4" customWidth="true" style="5" width="99.85546875" collapsed="true"/>
    <col min="5" max="5" bestFit="true" customWidth="true" style="5" width="8.0" collapsed="true"/>
    <col min="6" max="6" bestFit="true" customWidth="true" style="5" width="10.7109375" collapsed="true"/>
    <col min="7" max="7" bestFit="true" customWidth="true" style="5" width="13.85546875" collapsed="true"/>
    <col min="8" max="8" customWidth="true" style="5" width="12.28515625" collapsed="true"/>
    <col min="9" max="10" bestFit="true" customWidth="true" style="5" width="10.85546875" collapsed="true"/>
    <col min="11" max="16384" style="5" width="9.140625" collapsed="true"/>
  </cols>
  <sheetData>
    <row r="1" spans="1:9" x14ac:dyDescent="0.25">
      <c r="A1" s="14" t="s">
        <v>83</v>
      </c>
      <c r="B1" s="14"/>
      <c r="C1" s="14"/>
      <c r="D1" s="14"/>
      <c r="E1" s="14"/>
      <c r="F1" s="14"/>
    </row>
    <row r="2" spans="1:9" s="2" customFormat="1" x14ac:dyDescent="0.25">
      <c r="A2" s="4" t="s">
        <v>3</v>
      </c>
      <c r="B2" s="4" t="s">
        <v>6</v>
      </c>
      <c r="C2" s="4"/>
      <c r="D2" s="4"/>
      <c r="E2" s="4"/>
      <c r="F2" s="4" t="s">
        <v>10</v>
      </c>
    </row>
    <row r="3" spans="1:9" ht="20.25" thickBot="1" x14ac:dyDescent="0.35">
      <c r="A3" s="3" t="s">
        <v>202</v>
      </c>
      <c r="B3" s="3" t="s">
        <v>219</v>
      </c>
      <c r="C3" s="3" t="s">
        <v>238</v>
      </c>
      <c r="D3" s="3" t="s">
        <v>232</v>
      </c>
      <c r="E3" s="3"/>
      <c r="F3" s="3"/>
      <c r="G3" s="51" t="s">
        <v>204</v>
      </c>
      <c r="H3" s="51" t="s">
        <v>205</v>
      </c>
      <c r="I3" s="51" t="s">
        <v>211</v>
      </c>
    </row>
    <row r="4" spans="1:9" ht="15.75" thickTop="1" x14ac:dyDescent="0.25">
      <c r="A4" s="3" t="s">
        <v>202</v>
      </c>
      <c r="B4" s="3" t="s">
        <v>220</v>
      </c>
      <c r="C4" s="3" t="s">
        <v>239</v>
      </c>
      <c r="D4" s="3" t="s">
        <v>245</v>
      </c>
      <c r="E4" s="3"/>
      <c r="F4" s="3"/>
    </row>
    <row r="5" spans="1:9" x14ac:dyDescent="0.25">
      <c r="A5" s="3" t="s">
        <v>202</v>
      </c>
      <c r="B5" s="3" t="s">
        <v>221</v>
      </c>
      <c r="C5" s="3" t="s">
        <v>240</v>
      </c>
      <c r="D5" s="3" t="s">
        <v>246</v>
      </c>
      <c r="E5" s="3"/>
      <c r="F5" s="3"/>
    </row>
    <row r="6" spans="1:9" x14ac:dyDescent="0.25">
      <c r="A6" s="3" t="s">
        <v>202</v>
      </c>
      <c r="B6" s="3" t="s">
        <v>222</v>
      </c>
      <c r="C6" s="3" t="s">
        <v>241</v>
      </c>
      <c r="D6" s="3" t="s">
        <v>247</v>
      </c>
      <c r="E6" s="3"/>
      <c r="F6" s="3"/>
    </row>
    <row r="7" spans="1:9" x14ac:dyDescent="0.25">
      <c r="A7" s="3" t="s">
        <v>202</v>
      </c>
      <c r="B7" s="3" t="s">
        <v>175</v>
      </c>
      <c r="C7" s="3" t="s">
        <v>241</v>
      </c>
      <c r="D7" s="3" t="s">
        <v>233</v>
      </c>
      <c r="E7" s="3"/>
      <c r="F7" s="3"/>
    </row>
    <row r="8" spans="1:9" x14ac:dyDescent="0.25">
      <c r="A8" s="3" t="s">
        <v>202</v>
      </c>
      <c r="B8" s="3" t="s">
        <v>223</v>
      </c>
      <c r="C8" s="3" t="s">
        <v>241</v>
      </c>
      <c r="D8" s="3" t="s">
        <v>248</v>
      </c>
      <c r="E8" s="3"/>
      <c r="F8" s="3"/>
    </row>
    <row r="9" spans="1:9" x14ac:dyDescent="0.25">
      <c r="A9" s="3" t="s">
        <v>202</v>
      </c>
      <c r="B9" s="3" t="s">
        <v>222</v>
      </c>
      <c r="C9" s="3" t="s">
        <v>241</v>
      </c>
      <c r="D9" s="3" t="s">
        <v>249</v>
      </c>
      <c r="E9" s="3"/>
      <c r="F9" s="3"/>
    </row>
    <row r="10" spans="1:9" x14ac:dyDescent="0.25">
      <c r="A10" s="3" t="s">
        <v>202</v>
      </c>
      <c r="B10" s="3" t="s">
        <v>175</v>
      </c>
      <c r="C10" s="3" t="s">
        <v>241</v>
      </c>
      <c r="D10" s="3" t="s">
        <v>234</v>
      </c>
      <c r="E10" s="3"/>
      <c r="F10" s="3"/>
    </row>
    <row r="11" spans="1:9" x14ac:dyDescent="0.25">
      <c r="A11" s="3" t="s">
        <v>202</v>
      </c>
      <c r="B11" s="3" t="s">
        <v>224</v>
      </c>
      <c r="C11" s="3" t="s">
        <v>241</v>
      </c>
      <c r="D11" s="3" t="s">
        <v>250</v>
      </c>
      <c r="E11" s="3"/>
      <c r="F11" s="3"/>
    </row>
    <row r="12" spans="1:9" x14ac:dyDescent="0.25">
      <c r="A12" s="3" t="s">
        <v>202</v>
      </c>
      <c r="B12" s="3" t="s">
        <v>225</v>
      </c>
      <c r="C12" s="3" t="s">
        <v>241</v>
      </c>
      <c r="D12" s="3" t="s">
        <v>235</v>
      </c>
      <c r="E12" s="3"/>
      <c r="F12" s="3"/>
    </row>
    <row r="13" spans="1:9" x14ac:dyDescent="0.25">
      <c r="A13" s="3" t="s">
        <v>202</v>
      </c>
      <c r="B13" s="3" t="s">
        <v>175</v>
      </c>
      <c r="C13" s="3" t="s">
        <v>241</v>
      </c>
      <c r="D13" s="3" t="s">
        <v>236</v>
      </c>
      <c r="E13" s="3"/>
      <c r="F13" s="3"/>
    </row>
    <row r="14" spans="1:9" x14ac:dyDescent="0.25">
      <c r="A14" s="3" t="s">
        <v>202</v>
      </c>
      <c r="B14" s="3" t="s">
        <v>226</v>
      </c>
      <c r="C14" s="3" t="s">
        <v>241</v>
      </c>
      <c r="D14" s="3" t="s">
        <v>251</v>
      </c>
      <c r="E14" s="3"/>
      <c r="F14" s="3"/>
    </row>
    <row r="15" spans="1:9" x14ac:dyDescent="0.25">
      <c r="A15" s="3" t="s">
        <v>202</v>
      </c>
      <c r="B15" s="3" t="s">
        <v>227</v>
      </c>
      <c r="C15" s="3" t="s">
        <v>241</v>
      </c>
      <c r="D15" s="3" t="s">
        <v>252</v>
      </c>
      <c r="E15" s="3"/>
      <c r="F15" s="3"/>
    </row>
    <row r="16" spans="1:9" x14ac:dyDescent="0.25">
      <c r="A16" s="3" t="s">
        <v>202</v>
      </c>
      <c r="B16" s="3" t="s">
        <v>176</v>
      </c>
      <c r="C16" s="3" t="s">
        <v>241</v>
      </c>
      <c r="D16" s="3" t="s">
        <v>253</v>
      </c>
      <c r="E16" s="3"/>
      <c r="F16" s="3"/>
    </row>
    <row r="17" spans="1:6" x14ac:dyDescent="0.25">
      <c r="A17" s="3" t="s">
        <v>202</v>
      </c>
      <c r="B17" s="3" t="s">
        <v>176</v>
      </c>
      <c r="C17" s="3" t="s">
        <v>241</v>
      </c>
      <c r="D17" s="3" t="s">
        <v>237</v>
      </c>
      <c r="E17" s="3"/>
      <c r="F17" s="3"/>
    </row>
    <row r="18" spans="1:6" x14ac:dyDescent="0.25">
      <c r="A18" s="3" t="s">
        <v>202</v>
      </c>
      <c r="B18" s="3" t="s">
        <v>228</v>
      </c>
      <c r="C18" s="3" t="s">
        <v>242</v>
      </c>
      <c r="D18" s="3" t="s">
        <v>254</v>
      </c>
      <c r="E18" s="3"/>
      <c r="F18" s="3"/>
    </row>
    <row r="19" spans="1:6" x14ac:dyDescent="0.25">
      <c r="A19" s="3" t="s">
        <v>202</v>
      </c>
      <c r="B19" s="3" t="s">
        <v>178</v>
      </c>
      <c r="C19" s="3" t="s">
        <v>243</v>
      </c>
      <c r="D19" s="3" t="s">
        <v>255</v>
      </c>
      <c r="E19" s="3"/>
      <c r="F19" s="3"/>
    </row>
    <row r="20" spans="1:6" x14ac:dyDescent="0.25">
      <c r="A20" s="3" t="s">
        <v>202</v>
      </c>
      <c r="B20" s="3" t="s">
        <v>178</v>
      </c>
      <c r="C20" s="3" t="s">
        <v>243</v>
      </c>
      <c r="D20" s="3" t="s">
        <v>256</v>
      </c>
      <c r="E20" s="3"/>
      <c r="F20" s="3"/>
    </row>
    <row r="21" spans="1:6" x14ac:dyDescent="0.25">
      <c r="A21" s="3" t="s">
        <v>202</v>
      </c>
      <c r="B21" s="3" t="s">
        <v>178</v>
      </c>
      <c r="C21" s="3" t="s">
        <v>243</v>
      </c>
      <c r="D21" s="3" t="s">
        <v>257</v>
      </c>
      <c r="E21" s="3"/>
      <c r="F21" s="3"/>
    </row>
    <row r="22" spans="1:6" x14ac:dyDescent="0.25">
      <c r="A22" s="3" t="s">
        <v>202</v>
      </c>
      <c r="B22" s="3" t="s">
        <v>178</v>
      </c>
      <c r="C22" s="3" t="s">
        <v>243</v>
      </c>
      <c r="D22" s="3" t="s">
        <v>258</v>
      </c>
      <c r="E22" s="3"/>
      <c r="F22" s="3"/>
    </row>
    <row r="23" spans="1:6" x14ac:dyDescent="0.25">
      <c r="A23" s="3" t="s">
        <v>202</v>
      </c>
      <c r="B23" s="3" t="s">
        <v>178</v>
      </c>
      <c r="C23" s="3" t="s">
        <v>243</v>
      </c>
      <c r="D23" s="3" t="s">
        <v>259</v>
      </c>
      <c r="E23" s="3"/>
      <c r="F23" s="3"/>
    </row>
    <row r="24" spans="1:6" x14ac:dyDescent="0.25">
      <c r="A24" s="3" t="s">
        <v>202</v>
      </c>
      <c r="B24" s="3" t="s">
        <v>178</v>
      </c>
      <c r="C24" s="3" t="s">
        <v>243</v>
      </c>
      <c r="D24" s="3" t="s">
        <v>260</v>
      </c>
      <c r="E24" s="3"/>
      <c r="F24" s="3"/>
    </row>
    <row r="25" spans="1:6" x14ac:dyDescent="0.25">
      <c r="A25" s="3" t="s">
        <v>202</v>
      </c>
      <c r="B25" s="3" t="s">
        <v>178</v>
      </c>
      <c r="C25" s="3" t="s">
        <v>243</v>
      </c>
      <c r="D25" s="3" t="s">
        <v>261</v>
      </c>
      <c r="E25" s="3"/>
      <c r="F25" s="3"/>
    </row>
    <row r="26" spans="1:6" x14ac:dyDescent="0.25">
      <c r="A26" s="3" t="s">
        <v>202</v>
      </c>
      <c r="B26" s="3" t="s">
        <v>178</v>
      </c>
      <c r="C26" s="3" t="s">
        <v>243</v>
      </c>
      <c r="D26" s="3" t="s">
        <v>262</v>
      </c>
      <c r="E26" s="3"/>
      <c r="F26" s="3"/>
    </row>
    <row r="27" spans="1:6" x14ac:dyDescent="0.25">
      <c r="A27" s="3" t="s">
        <v>202</v>
      </c>
      <c r="B27" s="3" t="s">
        <v>178</v>
      </c>
      <c r="C27" s="3" t="s">
        <v>241</v>
      </c>
      <c r="D27" s="3" t="s">
        <v>263</v>
      </c>
      <c r="E27" s="3"/>
      <c r="F27" s="3"/>
    </row>
    <row r="28" spans="1:6" x14ac:dyDescent="0.25">
      <c r="A28" s="3" t="s">
        <v>202</v>
      </c>
      <c r="B28" s="3" t="s">
        <v>226</v>
      </c>
      <c r="C28" s="3" t="s">
        <v>241</v>
      </c>
      <c r="D28" s="3" t="s">
        <v>264</v>
      </c>
      <c r="E28" s="3"/>
      <c r="F28" s="3"/>
    </row>
    <row r="29" spans="1:6" x14ac:dyDescent="0.25">
      <c r="A29" s="3" t="s">
        <v>202</v>
      </c>
      <c r="B29" s="3" t="s">
        <v>226</v>
      </c>
      <c r="C29" s="3" t="s">
        <v>241</v>
      </c>
      <c r="D29" s="3" t="s">
        <v>265</v>
      </c>
      <c r="E29" s="3"/>
      <c r="F29" s="3"/>
    </row>
    <row r="30" spans="1:6" x14ac:dyDescent="0.25">
      <c r="A30" s="3" t="s">
        <v>202</v>
      </c>
      <c r="B30" s="3" t="s">
        <v>226</v>
      </c>
      <c r="C30" s="3" t="s">
        <v>241</v>
      </c>
      <c r="D30" s="3" t="s">
        <v>266</v>
      </c>
      <c r="E30" s="3"/>
      <c r="F30" s="3"/>
    </row>
    <row r="31" spans="1:6" x14ac:dyDescent="0.25">
      <c r="A31" s="3" t="s">
        <v>202</v>
      </c>
      <c r="B31" s="3" t="s">
        <v>226</v>
      </c>
      <c r="C31" s="3" t="s">
        <v>241</v>
      </c>
      <c r="D31" s="3" t="s">
        <v>267</v>
      </c>
      <c r="E31" s="3"/>
      <c r="F31" s="3"/>
    </row>
    <row r="32" spans="1:6" x14ac:dyDescent="0.25">
      <c r="A32" s="3" t="s">
        <v>202</v>
      </c>
      <c r="B32" s="3" t="s">
        <v>226</v>
      </c>
      <c r="C32" s="3" t="s">
        <v>241</v>
      </c>
      <c r="D32" s="3" t="s">
        <v>268</v>
      </c>
      <c r="E32" s="3"/>
      <c r="F32" s="3"/>
    </row>
    <row r="33" spans="1:6" x14ac:dyDescent="0.25">
      <c r="A33" s="3" t="s">
        <v>202</v>
      </c>
      <c r="B33" s="3" t="s">
        <v>226</v>
      </c>
      <c r="C33" s="3" t="s">
        <v>241</v>
      </c>
      <c r="D33" s="3" t="s">
        <v>269</v>
      </c>
      <c r="E33" s="3"/>
      <c r="F33" s="3"/>
    </row>
    <row r="34" spans="1:6" x14ac:dyDescent="0.25">
      <c r="A34" s="3" t="s">
        <v>202</v>
      </c>
      <c r="B34" s="3" t="s">
        <v>226</v>
      </c>
      <c r="C34" s="3" t="s">
        <v>241</v>
      </c>
      <c r="D34" s="3" t="s">
        <v>270</v>
      </c>
      <c r="E34" s="3"/>
      <c r="F34" s="3"/>
    </row>
    <row r="35" spans="1:6" x14ac:dyDescent="0.25">
      <c r="A35" s="3" t="s">
        <v>202</v>
      </c>
      <c r="B35" s="3" t="s">
        <v>178</v>
      </c>
      <c r="C35" s="3" t="s">
        <v>243</v>
      </c>
      <c r="D35" s="3" t="s">
        <v>271</v>
      </c>
      <c r="E35" s="3"/>
      <c r="F35" s="3"/>
    </row>
    <row r="36" spans="1:6" x14ac:dyDescent="0.25">
      <c r="A36" s="3" t="s">
        <v>202</v>
      </c>
      <c r="B36" s="3" t="s">
        <v>178</v>
      </c>
      <c r="C36" s="3" t="s">
        <v>243</v>
      </c>
      <c r="D36" s="3" t="s">
        <v>272</v>
      </c>
      <c r="E36" s="3"/>
      <c r="F36" s="3"/>
    </row>
    <row r="37" spans="1:6" x14ac:dyDescent="0.25">
      <c r="A37" s="3" t="s">
        <v>202</v>
      </c>
      <c r="B37" s="3" t="s">
        <v>178</v>
      </c>
      <c r="C37" s="3" t="s">
        <v>243</v>
      </c>
      <c r="D37" s="3" t="s">
        <v>273</v>
      </c>
      <c r="E37" s="3"/>
      <c r="F37" s="3"/>
    </row>
    <row r="38" spans="1:6" x14ac:dyDescent="0.25">
      <c r="A38" s="3" t="s">
        <v>202</v>
      </c>
      <c r="B38" s="3" t="s">
        <v>178</v>
      </c>
      <c r="C38" s="3" t="s">
        <v>243</v>
      </c>
      <c r="D38" s="3" t="s">
        <v>274</v>
      </c>
      <c r="E38" s="3"/>
      <c r="F38" s="3"/>
    </row>
    <row r="39" spans="1:6" x14ac:dyDescent="0.25">
      <c r="A39" s="3" t="s">
        <v>202</v>
      </c>
      <c r="B39" s="3" t="s">
        <v>178</v>
      </c>
      <c r="C39" s="3" t="s">
        <v>243</v>
      </c>
      <c r="D39" s="3" t="s">
        <v>275</v>
      </c>
      <c r="E39" s="3"/>
      <c r="F39" s="3"/>
    </row>
    <row r="40" spans="1:6" x14ac:dyDescent="0.25">
      <c r="A40" s="3" t="s">
        <v>202</v>
      </c>
      <c r="B40" s="3" t="s">
        <v>178</v>
      </c>
      <c r="C40" s="3" t="s">
        <v>243</v>
      </c>
      <c r="D40" s="3" t="s">
        <v>276</v>
      </c>
      <c r="E40" s="3"/>
      <c r="F40" s="3"/>
    </row>
    <row r="41" spans="1:6" x14ac:dyDescent="0.25">
      <c r="A41" s="3" t="s">
        <v>202</v>
      </c>
      <c r="B41" s="3" t="s">
        <v>178</v>
      </c>
      <c r="C41" s="3" t="s">
        <v>243</v>
      </c>
      <c r="D41" s="3" t="s">
        <v>277</v>
      </c>
      <c r="E41" s="3"/>
      <c r="F41" s="3"/>
    </row>
    <row r="42" spans="1:6" x14ac:dyDescent="0.25">
      <c r="A42" s="3" t="s">
        <v>202</v>
      </c>
      <c r="B42" s="3" t="s">
        <v>178</v>
      </c>
      <c r="C42" s="3" t="s">
        <v>239</v>
      </c>
      <c r="D42" s="3" t="s">
        <v>278</v>
      </c>
      <c r="E42" s="3"/>
      <c r="F42" s="3"/>
    </row>
    <row r="43" spans="1:6" x14ac:dyDescent="0.25">
      <c r="A43" s="3" t="s">
        <v>202</v>
      </c>
      <c r="B43" s="3" t="s">
        <v>178</v>
      </c>
      <c r="C43" s="3" t="s">
        <v>239</v>
      </c>
      <c r="D43" s="3" t="s">
        <v>279</v>
      </c>
      <c r="E43" s="3"/>
      <c r="F43" s="3"/>
    </row>
    <row r="44" spans="1:6" x14ac:dyDescent="0.25">
      <c r="A44" s="3" t="s">
        <v>202</v>
      </c>
      <c r="B44" s="3" t="s">
        <v>178</v>
      </c>
      <c r="C44" s="3" t="s">
        <v>239</v>
      </c>
      <c r="D44" s="3" t="s">
        <v>280</v>
      </c>
      <c r="E44" s="3"/>
      <c r="F44" s="3"/>
    </row>
    <row r="45" spans="1:6" x14ac:dyDescent="0.25">
      <c r="A45" s="3" t="s">
        <v>202</v>
      </c>
      <c r="B45" s="3" t="s">
        <v>178</v>
      </c>
      <c r="C45" s="3" t="s">
        <v>239</v>
      </c>
      <c r="D45" s="3" t="s">
        <v>281</v>
      </c>
      <c r="E45" s="3"/>
      <c r="F45" s="3"/>
    </row>
    <row r="46" spans="1:6" x14ac:dyDescent="0.25">
      <c r="A46" s="3" t="s">
        <v>202</v>
      </c>
      <c r="B46" s="3" t="s">
        <v>178</v>
      </c>
      <c r="C46" s="3" t="s">
        <v>239</v>
      </c>
      <c r="D46" s="3" t="s">
        <v>282</v>
      </c>
      <c r="E46" s="3"/>
      <c r="F46" s="3"/>
    </row>
    <row r="47" spans="1:6" x14ac:dyDescent="0.25">
      <c r="A47" s="3" t="s">
        <v>202</v>
      </c>
      <c r="B47" s="3" t="s">
        <v>178</v>
      </c>
      <c r="C47" s="3" t="s">
        <v>239</v>
      </c>
      <c r="D47" s="3" t="s">
        <v>283</v>
      </c>
      <c r="E47" s="3"/>
      <c r="F47" s="3"/>
    </row>
    <row r="48" spans="1:6" x14ac:dyDescent="0.25">
      <c r="A48" s="3" t="s">
        <v>202</v>
      </c>
      <c r="B48" s="3" t="s">
        <v>227</v>
      </c>
      <c r="C48" s="3" t="s">
        <v>241</v>
      </c>
      <c r="D48" s="3" t="s">
        <v>284</v>
      </c>
      <c r="E48" s="3"/>
      <c r="F48" s="3"/>
    </row>
    <row r="49" spans="1:6" x14ac:dyDescent="0.25">
      <c r="A49" s="3" t="s">
        <v>202</v>
      </c>
      <c r="B49" s="3" t="s">
        <v>229</v>
      </c>
      <c r="C49" s="3" t="s">
        <v>241</v>
      </c>
      <c r="D49" s="3" t="s">
        <v>285</v>
      </c>
      <c r="E49" s="3"/>
      <c r="F49" s="3"/>
    </row>
    <row r="50" spans="1:6" x14ac:dyDescent="0.25">
      <c r="A50" s="3" t="s">
        <v>202</v>
      </c>
      <c r="B50" s="3" t="s">
        <v>178</v>
      </c>
      <c r="C50" s="3" t="s">
        <v>239</v>
      </c>
      <c r="D50" s="3" t="s">
        <v>286</v>
      </c>
      <c r="E50" s="3"/>
      <c r="F50" s="3"/>
    </row>
    <row r="51" spans="1:6" x14ac:dyDescent="0.25">
      <c r="A51" s="3" t="s">
        <v>202</v>
      </c>
      <c r="B51" s="3" t="s">
        <v>230</v>
      </c>
      <c r="C51" s="3" t="s">
        <v>241</v>
      </c>
      <c r="D51" s="3" t="s">
        <v>287</v>
      </c>
      <c r="E51" s="3"/>
      <c r="F51" s="3"/>
    </row>
    <row r="52" spans="1:6" x14ac:dyDescent="0.25">
      <c r="A52" s="3" t="s">
        <v>202</v>
      </c>
      <c r="B52" s="3" t="s">
        <v>231</v>
      </c>
      <c r="C52" s="3" t="s">
        <v>238</v>
      </c>
      <c r="D52" s="3" t="s">
        <v>244</v>
      </c>
      <c r="E52" s="3"/>
      <c r="F52" s="3"/>
    </row>
    <row r="53" spans="1:6" x14ac:dyDescent="0.25">
      <c r="A53" s="3" t="s">
        <v>202</v>
      </c>
      <c r="B53" s="3" t="s">
        <v>178</v>
      </c>
      <c r="C53" s="3" t="s">
        <v>239</v>
      </c>
      <c r="D53" s="3" t="s">
        <v>288</v>
      </c>
      <c r="E53" s="3"/>
      <c r="F53" s="3"/>
    </row>
  </sheetData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D23"/>
    </customSheetView>
  </customSheetViews>
  <hyperlinks>
    <hyperlink ref="A1" location="Summary!A1" display="Summary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1" id="{E5E80AA1-4472-41C6-9565-5E75CB1AAEDC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2" id="{601E3DFE-039C-4995-9AD1-52BA30123948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3" id="{49AB62FD-A49D-4A0C-AB3C-E89DE4F30E4C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A3:A53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V23"/>
  <sheetViews>
    <sheetView zoomScale="85" zoomScaleNormal="85" workbookViewId="0">
      <pane ySplit="2" topLeftCell="A3" activePane="bottomLeft" state="frozen"/>
      <selection pane="bottomLeft" activeCell="D28" sqref="D28"/>
    </sheetView>
  </sheetViews>
  <sheetFormatPr defaultRowHeight="15" x14ac:dyDescent="0.25"/>
  <cols>
    <col min="1" max="1" bestFit="true" customWidth="true" style="2" width="9.28515625" collapsed="true"/>
    <col min="2" max="2" bestFit="true" customWidth="true" style="2" width="13.140625" collapsed="true"/>
    <col min="3" max="4" customWidth="true" style="2" width="101.0" collapsed="true"/>
    <col min="5" max="9" style="2" width="9.140625" collapsed="true"/>
    <col min="10" max="10" bestFit="true" customWidth="true" style="2" width="113.42578125" collapsed="true"/>
    <col min="11" max="16384" style="2" width="9.140625" collapsed="true"/>
  </cols>
  <sheetData>
    <row r="1" spans="1:516" ht="15.75" thickBot="1" x14ac:dyDescent="0.3">
      <c r="A1" s="13" t="s">
        <v>83</v>
      </c>
      <c r="B1" s="13"/>
      <c r="C1" s="13"/>
      <c r="D1" s="13"/>
    </row>
    <row r="2" spans="1:516" s="10" customFormat="1" ht="16.5" thickTop="1" thickBot="1" x14ac:dyDescent="0.3">
      <c r="A2" s="1" t="s">
        <v>3</v>
      </c>
      <c r="B2" s="1"/>
      <c r="C2" s="1" t="s">
        <v>9</v>
      </c>
      <c r="D2" s="1" t="s">
        <v>10</v>
      </c>
      <c r="E2" s="10" t="s">
        <v>4</v>
      </c>
    </row>
    <row r="3" spans="1:516" s="10" customFormat="1" ht="15.75" thickTop="1" x14ac:dyDescent="0.25">
      <c r="A3" s="3" t="s">
        <v>202</v>
      </c>
      <c r="B3" s="3" t="s">
        <v>11</v>
      </c>
      <c r="C3" s="3"/>
      <c r="D3" s="7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</row>
    <row r="4" spans="1:516" s="10" customFormat="1" x14ac:dyDescent="0.25">
      <c r="A4" s="3" t="s">
        <v>202</v>
      </c>
      <c r="B4" s="3" t="s">
        <v>12</v>
      </c>
      <c r="C4" s="3"/>
      <c r="D4" s="7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</row>
    <row r="5" spans="1:516" s="10" customFormat="1" x14ac:dyDescent="0.25">
      <c r="A5" s="3" t="s">
        <v>202</v>
      </c>
      <c r="B5" s="3" t="s">
        <v>13</v>
      </c>
      <c r="C5" s="3"/>
      <c r="D5" s="7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</row>
    <row r="6" spans="1:516" s="10" customFormat="1" x14ac:dyDescent="0.25">
      <c r="A6" s="3" t="s">
        <v>202</v>
      </c>
      <c r="B6" s="3" t="s">
        <v>14</v>
      </c>
      <c r="C6" s="3"/>
      <c r="D6" s="7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</row>
    <row r="7" spans="1:516" s="10" customFormat="1" x14ac:dyDescent="0.25">
      <c r="A7" s="3" t="s">
        <v>202</v>
      </c>
      <c r="B7" s="3" t="s">
        <v>15</v>
      </c>
      <c r="C7" s="3"/>
      <c r="D7" s="7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</row>
    <row r="8" spans="1:516" s="10" customFormat="1" x14ac:dyDescent="0.25">
      <c r="A8" s="3" t="s">
        <v>202</v>
      </c>
      <c r="B8" s="3" t="s">
        <v>16</v>
      </c>
      <c r="C8" s="3"/>
      <c r="D8" s="7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</row>
    <row r="9" spans="1:516" s="10" customFormat="1" x14ac:dyDescent="0.25">
      <c r="A9" s="3" t="s">
        <v>202</v>
      </c>
      <c r="B9" s="3" t="s">
        <v>17</v>
      </c>
      <c r="C9" s="3"/>
      <c r="D9" s="7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</row>
    <row r="10" spans="1:516" s="10" customFormat="1" x14ac:dyDescent="0.25">
      <c r="A10" s="3" t="s">
        <v>202</v>
      </c>
      <c r="B10" s="3" t="s">
        <v>18</v>
      </c>
      <c r="C10" s="3"/>
      <c r="D10" s="7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</row>
    <row r="11" spans="1:516" s="10" customFormat="1" x14ac:dyDescent="0.25">
      <c r="A11" s="3" t="s">
        <v>202</v>
      </c>
      <c r="B11" s="3" t="s">
        <v>19</v>
      </c>
      <c r="C11" s="3"/>
      <c r="D11" s="7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</row>
    <row r="12" spans="1:516" s="10" customFormat="1" x14ac:dyDescent="0.25">
      <c r="A12" s="3" t="s">
        <v>202</v>
      </c>
      <c r="B12" s="3" t="s">
        <v>20</v>
      </c>
      <c r="C12" s="3"/>
      <c r="D12" s="7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</row>
    <row r="13" spans="1:516" s="10" customFormat="1" x14ac:dyDescent="0.25">
      <c r="A13" s="3" t="s">
        <v>202</v>
      </c>
      <c r="B13" s="3" t="s">
        <v>21</v>
      </c>
      <c r="C13" s="3"/>
      <c r="D13" s="7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</row>
    <row r="14" spans="1:516" s="10" customFormat="1" x14ac:dyDescent="0.25">
      <c r="A14" s="3" t="s">
        <v>202</v>
      </c>
      <c r="B14" s="3" t="s">
        <v>22</v>
      </c>
      <c r="C14" s="3"/>
      <c r="D14" s="7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</row>
    <row r="15" spans="1:516" s="10" customFormat="1" x14ac:dyDescent="0.25">
      <c r="A15" s="3" t="s">
        <v>202</v>
      </c>
      <c r="B15" s="3" t="s">
        <v>23</v>
      </c>
      <c r="C15" s="3"/>
      <c r="D15" s="7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</row>
    <row r="16" spans="1:516" s="10" customFormat="1" x14ac:dyDescent="0.25">
      <c r="A16" s="3" t="s">
        <v>202</v>
      </c>
      <c r="B16" s="3" t="s">
        <v>24</v>
      </c>
      <c r="C16" s="3"/>
      <c r="D16" s="7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</row>
    <row r="17" spans="1:516" s="10" customFormat="1" x14ac:dyDescent="0.25">
      <c r="A17" s="3" t="s">
        <v>202</v>
      </c>
      <c r="B17" s="3" t="s">
        <v>25</v>
      </c>
      <c r="C17" s="3"/>
      <c r="D17" s="7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</row>
    <row r="18" spans="1:516" s="10" customFormat="1" x14ac:dyDescent="0.25">
      <c r="A18" s="3" t="s">
        <v>202</v>
      </c>
      <c r="B18" s="3" t="s">
        <v>26</v>
      </c>
      <c r="C18" s="3"/>
      <c r="D18" s="7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</row>
    <row r="19" spans="1:516" s="10" customFormat="1" x14ac:dyDescent="0.25">
      <c r="A19" s="3" t="s">
        <v>202</v>
      </c>
      <c r="B19" s="3" t="s">
        <v>27</v>
      </c>
      <c r="C19" s="3"/>
      <c r="D19" s="7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</row>
    <row r="20" spans="1:516" s="10" customFormat="1" x14ac:dyDescent="0.25">
      <c r="A20" s="3" t="s">
        <v>202</v>
      </c>
      <c r="B20" s="3" t="s">
        <v>28</v>
      </c>
      <c r="C20" s="3"/>
      <c r="D20" s="7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</row>
    <row r="21" spans="1:516" s="10" customFormat="1" x14ac:dyDescent="0.25">
      <c r="A21" s="3" t="s">
        <v>202</v>
      </c>
      <c r="B21" s="3" t="s">
        <v>29</v>
      </c>
      <c r="C21" s="3"/>
      <c r="D21" s="7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</row>
    <row r="22" spans="1:516" s="10" customFormat="1" x14ac:dyDescent="0.25">
      <c r="A22" s="3" t="s">
        <v>202</v>
      </c>
      <c r="B22" s="3" t="s">
        <v>30</v>
      </c>
      <c r="C22" s="3"/>
      <c r="D22" s="7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</row>
    <row r="23" spans="1:516" x14ac:dyDescent="0.25">
      <c r="A23" s="3" t="s">
        <v>202</v>
      </c>
      <c r="B23" s="50" t="s">
        <v>203</v>
      </c>
      <c r="C23" s="50"/>
      <c r="D23" s="50"/>
    </row>
  </sheetData>
  <autoFilter ref="A2:C22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C22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4" id="{3F17E477-5F93-41D7-ABE2-1DDA7E2ACCBB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5" id="{7D18B5F9-2C4E-4D78-9F70-391EAC264F4C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6" id="{C968D73A-B24B-400C-BDE7-A6452FB3F1C3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A3:D23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A3:A23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72"/>
  <sheetViews>
    <sheetView topLeftCell="A22" workbookViewId="0">
      <selection activeCell="D34" sqref="D34"/>
    </sheetView>
  </sheetViews>
  <sheetFormatPr defaultRowHeight="15" x14ac:dyDescent="0.25"/>
  <cols>
    <col min="1" max="3" style="2" width="9.140625" collapsed="true"/>
    <col min="4" max="4" bestFit="true" customWidth="true" style="2" width="12.42578125" collapsed="true"/>
    <col min="5" max="16384" style="2" width="9.140625" collapsed="true"/>
  </cols>
  <sheetData>
    <row r="1" spans="1:4" ht="15.75" thickBot="1" x14ac:dyDescent="0.3">
      <c r="A1" s="12" t="s">
        <v>83</v>
      </c>
    </row>
    <row r="2" spans="1:4" ht="15.75" thickTop="1" x14ac:dyDescent="0.25">
      <c r="A2" s="16" t="s">
        <v>3</v>
      </c>
      <c r="B2" s="16" t="s">
        <v>71</v>
      </c>
      <c r="C2" s="16" t="s">
        <v>153</v>
      </c>
      <c r="D2" s="16" t="s">
        <v>82</v>
      </c>
    </row>
    <row r="3" spans="1:4" x14ac:dyDescent="0.25">
      <c r="A3" s="3" t="s">
        <v>0</v>
      </c>
      <c r="B3" s="7" t="s">
        <v>72</v>
      </c>
      <c r="C3" s="2" t="s">
        <v>73</v>
      </c>
      <c r="D3" s="3" t="s">
        <v>84</v>
      </c>
    </row>
    <row r="4" spans="1:4" x14ac:dyDescent="0.25">
      <c r="A4" s="3" t="s">
        <v>1</v>
      </c>
      <c r="B4" s="7" t="s">
        <v>74</v>
      </c>
      <c r="C4" s="7" t="s">
        <v>78</v>
      </c>
      <c r="D4" s="3" t="s">
        <v>85</v>
      </c>
    </row>
    <row r="5" spans="1:4" x14ac:dyDescent="0.25">
      <c r="A5" s="3" t="s">
        <v>2</v>
      </c>
      <c r="B5" s="7" t="s">
        <v>76</v>
      </c>
      <c r="C5" s="7" t="s">
        <v>79</v>
      </c>
      <c r="D5" s="3" t="s">
        <v>86</v>
      </c>
    </row>
    <row r="6" spans="1:4" x14ac:dyDescent="0.25">
      <c r="A6" s="3" t="s">
        <v>7</v>
      </c>
      <c r="C6" s="7" t="s">
        <v>77</v>
      </c>
      <c r="D6" s="3" t="s">
        <v>87</v>
      </c>
    </row>
    <row r="7" spans="1:4" x14ac:dyDescent="0.25">
      <c r="C7" s="7" t="s">
        <v>80</v>
      </c>
      <c r="D7" s="3" t="s">
        <v>88</v>
      </c>
    </row>
    <row r="8" spans="1:4" x14ac:dyDescent="0.25">
      <c r="C8" s="7" t="s">
        <v>75</v>
      </c>
      <c r="D8" s="3" t="s">
        <v>89</v>
      </c>
    </row>
    <row r="9" spans="1:4" x14ac:dyDescent="0.25">
      <c r="C9" s="47" t="s">
        <v>200</v>
      </c>
      <c r="D9" s="3" t="s">
        <v>90</v>
      </c>
    </row>
    <row r="10" spans="1:4" x14ac:dyDescent="0.25">
      <c r="D10" s="3" t="s">
        <v>91</v>
      </c>
    </row>
    <row r="11" spans="1:4" x14ac:dyDescent="0.25">
      <c r="A11"/>
      <c r="B11"/>
      <c r="C11"/>
      <c r="D11" s="3" t="s">
        <v>92</v>
      </c>
    </row>
    <row r="12" spans="1:4" x14ac:dyDescent="0.25">
      <c r="A12"/>
      <c r="B12"/>
      <c r="C12"/>
      <c r="D12" s="3" t="s">
        <v>93</v>
      </c>
    </row>
    <row r="13" spans="1:4" x14ac:dyDescent="0.25">
      <c r="D13" s="3" t="s">
        <v>94</v>
      </c>
    </row>
    <row r="14" spans="1:4" x14ac:dyDescent="0.25">
      <c r="D14" s="3" t="s">
        <v>95</v>
      </c>
    </row>
    <row r="15" spans="1:4" x14ac:dyDescent="0.25">
      <c r="D15" s="3" t="s">
        <v>96</v>
      </c>
    </row>
    <row r="16" spans="1:4" x14ac:dyDescent="0.25">
      <c r="D16" s="3" t="s">
        <v>97</v>
      </c>
    </row>
    <row r="17" spans="4:4" x14ac:dyDescent="0.25">
      <c r="D17" s="3" t="s">
        <v>98</v>
      </c>
    </row>
    <row r="18" spans="4:4" x14ac:dyDescent="0.25">
      <c r="D18" s="3" t="s">
        <v>99</v>
      </c>
    </row>
    <row r="19" spans="4:4" x14ac:dyDescent="0.25">
      <c r="D19" s="3" t="s">
        <v>100</v>
      </c>
    </row>
    <row r="20" spans="4:4" x14ac:dyDescent="0.25">
      <c r="D20" s="3" t="s">
        <v>101</v>
      </c>
    </row>
    <row r="21" spans="4:4" x14ac:dyDescent="0.25">
      <c r="D21" s="3" t="s">
        <v>102</v>
      </c>
    </row>
    <row r="22" spans="4:4" x14ac:dyDescent="0.25">
      <c r="D22" s="3" t="s">
        <v>103</v>
      </c>
    </row>
    <row r="23" spans="4:4" x14ac:dyDescent="0.25">
      <c r="D23" s="3" t="s">
        <v>104</v>
      </c>
    </row>
    <row r="24" spans="4:4" x14ac:dyDescent="0.25">
      <c r="D24" s="3" t="s">
        <v>105</v>
      </c>
    </row>
    <row r="25" spans="4:4" x14ac:dyDescent="0.25">
      <c r="D25" s="3" t="s">
        <v>106</v>
      </c>
    </row>
    <row r="26" spans="4:4" x14ac:dyDescent="0.25">
      <c r="D26" s="3" t="s">
        <v>107</v>
      </c>
    </row>
    <row r="27" spans="4:4" x14ac:dyDescent="0.25">
      <c r="D27" s="3" t="s">
        <v>108</v>
      </c>
    </row>
    <row r="28" spans="4:4" x14ac:dyDescent="0.25">
      <c r="D28" s="3" t="s">
        <v>109</v>
      </c>
    </row>
    <row r="29" spans="4:4" x14ac:dyDescent="0.25">
      <c r="D29" s="3" t="s">
        <v>110</v>
      </c>
    </row>
    <row r="30" spans="4:4" x14ac:dyDescent="0.25">
      <c r="D30" s="3" t="s">
        <v>111</v>
      </c>
    </row>
    <row r="31" spans="4:4" x14ac:dyDescent="0.25">
      <c r="D31" s="3" t="s">
        <v>112</v>
      </c>
    </row>
    <row r="32" spans="4:4" x14ac:dyDescent="0.25">
      <c r="D32" s="3" t="s">
        <v>113</v>
      </c>
    </row>
    <row r="33" spans="4:4" x14ac:dyDescent="0.25">
      <c r="D33" s="3" t="s">
        <v>114</v>
      </c>
    </row>
    <row r="34" spans="4:4" x14ac:dyDescent="0.25">
      <c r="D34" s="3" t="s">
        <v>115</v>
      </c>
    </row>
    <row r="35" spans="4:4" x14ac:dyDescent="0.25">
      <c r="D35" s="3" t="s">
        <v>116</v>
      </c>
    </row>
    <row r="36" spans="4:4" x14ac:dyDescent="0.25">
      <c r="D36" s="3" t="s">
        <v>117</v>
      </c>
    </row>
    <row r="37" spans="4:4" x14ac:dyDescent="0.25">
      <c r="D37" s="3" t="s">
        <v>118</v>
      </c>
    </row>
    <row r="38" spans="4:4" x14ac:dyDescent="0.25">
      <c r="D38" s="3" t="s">
        <v>119</v>
      </c>
    </row>
    <row r="39" spans="4:4" x14ac:dyDescent="0.25">
      <c r="D39" s="3" t="s">
        <v>120</v>
      </c>
    </row>
    <row r="40" spans="4:4" x14ac:dyDescent="0.25">
      <c r="D40" s="3" t="s">
        <v>121</v>
      </c>
    </row>
    <row r="41" spans="4:4" x14ac:dyDescent="0.25">
      <c r="D41" s="3" t="s">
        <v>122</v>
      </c>
    </row>
    <row r="42" spans="4:4" x14ac:dyDescent="0.25">
      <c r="D42" s="3" t="s">
        <v>123</v>
      </c>
    </row>
    <row r="43" spans="4:4" x14ac:dyDescent="0.25">
      <c r="D43" s="3" t="s">
        <v>124</v>
      </c>
    </row>
    <row r="44" spans="4:4" x14ac:dyDescent="0.25">
      <c r="D44" s="3" t="s">
        <v>125</v>
      </c>
    </row>
    <row r="45" spans="4:4" x14ac:dyDescent="0.25">
      <c r="D45" s="3" t="s">
        <v>126</v>
      </c>
    </row>
    <row r="46" spans="4:4" x14ac:dyDescent="0.25">
      <c r="D46" s="3" t="s">
        <v>127</v>
      </c>
    </row>
    <row r="47" spans="4:4" x14ac:dyDescent="0.25">
      <c r="D47" s="3" t="s">
        <v>128</v>
      </c>
    </row>
    <row r="48" spans="4:4" x14ac:dyDescent="0.25">
      <c r="D48" s="3" t="s">
        <v>129</v>
      </c>
    </row>
    <row r="49" spans="4:4" x14ac:dyDescent="0.25">
      <c r="D49" s="3" t="s">
        <v>130</v>
      </c>
    </row>
    <row r="50" spans="4:4" x14ac:dyDescent="0.25">
      <c r="D50" s="3" t="s">
        <v>131</v>
      </c>
    </row>
    <row r="51" spans="4:4" x14ac:dyDescent="0.25">
      <c r="D51" s="3" t="s">
        <v>132</v>
      </c>
    </row>
    <row r="52" spans="4:4" x14ac:dyDescent="0.25">
      <c r="D52" s="3" t="s">
        <v>133</v>
      </c>
    </row>
    <row r="53" spans="4:4" x14ac:dyDescent="0.25">
      <c r="D53" s="3" t="s">
        <v>77</v>
      </c>
    </row>
    <row r="54" spans="4:4" x14ac:dyDescent="0.25">
      <c r="D54" s="3" t="s">
        <v>134</v>
      </c>
    </row>
    <row r="55" spans="4:4" x14ac:dyDescent="0.25">
      <c r="D55" s="3" t="s">
        <v>135</v>
      </c>
    </row>
    <row r="56" spans="4:4" x14ac:dyDescent="0.25">
      <c r="D56" s="3" t="s">
        <v>136</v>
      </c>
    </row>
    <row r="57" spans="4:4" x14ac:dyDescent="0.25">
      <c r="D57" s="3" t="s">
        <v>137</v>
      </c>
    </row>
    <row r="58" spans="4:4" x14ac:dyDescent="0.25">
      <c r="D58" s="3" t="s">
        <v>138</v>
      </c>
    </row>
    <row r="59" spans="4:4" x14ac:dyDescent="0.25">
      <c r="D59" s="3" t="s">
        <v>139</v>
      </c>
    </row>
    <row r="60" spans="4:4" x14ac:dyDescent="0.25">
      <c r="D60" s="3" t="s">
        <v>140</v>
      </c>
    </row>
    <row r="61" spans="4:4" x14ac:dyDescent="0.25">
      <c r="D61" s="3" t="s">
        <v>141</v>
      </c>
    </row>
    <row r="62" spans="4:4" x14ac:dyDescent="0.25">
      <c r="D62" s="3" t="s">
        <v>142</v>
      </c>
    </row>
    <row r="63" spans="4:4" x14ac:dyDescent="0.25">
      <c r="D63" s="3" t="s">
        <v>143</v>
      </c>
    </row>
    <row r="64" spans="4:4" x14ac:dyDescent="0.25">
      <c r="D64" s="3" t="s">
        <v>144</v>
      </c>
    </row>
    <row r="65" spans="4:4" x14ac:dyDescent="0.25">
      <c r="D65" s="3" t="s">
        <v>145</v>
      </c>
    </row>
    <row r="66" spans="4:4" x14ac:dyDescent="0.25">
      <c r="D66" s="3" t="s">
        <v>146</v>
      </c>
    </row>
    <row r="67" spans="4:4" x14ac:dyDescent="0.25">
      <c r="D67" s="3" t="s">
        <v>147</v>
      </c>
    </row>
    <row r="68" spans="4:4" x14ac:dyDescent="0.25">
      <c r="D68" s="3" t="s">
        <v>148</v>
      </c>
    </row>
    <row r="69" spans="4:4" x14ac:dyDescent="0.25">
      <c r="D69" s="3" t="s">
        <v>149</v>
      </c>
    </row>
    <row r="70" spans="4:4" x14ac:dyDescent="0.25">
      <c r="D70" s="3" t="s">
        <v>150</v>
      </c>
    </row>
    <row r="71" spans="4:4" x14ac:dyDescent="0.25">
      <c r="D71" s="3" t="s">
        <v>151</v>
      </c>
    </row>
    <row r="72" spans="4:4" x14ac:dyDescent="0.25">
      <c r="D72" s="3" t="s">
        <v>152</v>
      </c>
    </row>
  </sheetData>
  <customSheetViews>
    <customSheetView guid="{11DA137D-FA21-4924-8652-5200ADF70677}" state="hidden">
      <selection activeCell="C1" sqref="C1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</vt:lpstr>
      <vt:lpstr>Queries</vt:lpstr>
      <vt:lpstr>pk_check_package before</vt:lpstr>
      <vt:lpstr>Patch list</vt:lpstr>
      <vt:lpstr>DB member list</vt:lpstr>
      <vt:lpstr>TFT op.</vt:lpstr>
      <vt:lpstr>Extra-change</vt:lpstr>
      <vt:lpstr>Update conflicts</vt:lpstr>
      <vt:lpstr>Syn Conflicts</vt:lpstr>
      <vt:lpstr>DB conflicts</vt:lpstr>
      <vt:lpstr>TOS-Error</vt:lpstr>
      <vt:lpstr>pk_check_package after</vt:lpstr>
      <vt:lpstr>Build V2</vt:lpstr>
      <vt:lpstr>Build V3</vt:lpstr>
      <vt:lpstr>myStatus</vt:lpstr>
    </vt:vector>
  </TitlesOfParts>
  <Company>Callatay &amp; Wouters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2012-12-13T08:07:28Z</dcterms:created>
  <dc:creator>Thomas De Roy</dc:creator>
  <cp:lastModifiedBy>bko</cp:lastModifiedBy>
  <dcterms:modified xsi:type="dcterms:W3CDTF">2015-08-04T10:06:40Z</dcterms:modified>
</cp:coreProperties>
</file>